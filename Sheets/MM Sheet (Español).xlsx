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A:\Javier\TTRPGs\Marvel Multiverse\Sheets\"/>
    </mc:Choice>
  </mc:AlternateContent>
  <xr:revisionPtr revIDLastSave="0" documentId="13_ncr:1_{9C6B7F1C-3981-4345-927E-47BE470695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ront" sheetId="1" r:id="rId1"/>
    <sheet name="Descriptions" sheetId="2" r:id="rId2"/>
    <sheet name="Modifier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D28" i="1" s="1"/>
  <c r="C40" i="1"/>
  <c r="C46" i="1"/>
  <c r="C44" i="1"/>
  <c r="C42" i="1"/>
  <c r="C14" i="1"/>
  <c r="C10" i="1"/>
  <c r="E18" i="1"/>
  <c r="E40" i="1"/>
  <c r="E42" i="1"/>
  <c r="E44" i="1"/>
  <c r="E46" i="1"/>
  <c r="D30" i="1"/>
  <c r="D32" i="1"/>
  <c r="D34" i="1"/>
  <c r="D36" i="1"/>
  <c r="D2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<sst xmlns="http://schemas.openxmlformats.org/spreadsheetml/2006/main" count="116" uniqueCount="82">
  <si>
    <t>Defense Score</t>
  </si>
  <si>
    <t>Melee</t>
  </si>
  <si>
    <t>Agility</t>
  </si>
  <si>
    <t>Resilience</t>
  </si>
  <si>
    <t>Vigilance</t>
  </si>
  <si>
    <t>Ego</t>
  </si>
  <si>
    <t>Logic</t>
  </si>
  <si>
    <t>+</t>
  </si>
  <si>
    <t xml:space="preserve">Initiative </t>
  </si>
  <si>
    <t>Damage Multiplier</t>
  </si>
  <si>
    <t>Bonus</t>
  </si>
  <si>
    <t>Override</t>
  </si>
  <si>
    <t>☐</t>
  </si>
  <si>
    <t>Trait</t>
  </si>
  <si>
    <t>Normal</t>
  </si>
  <si>
    <t xml:space="preserve">Health </t>
  </si>
  <si>
    <t xml:space="preserve">Focus </t>
  </si>
  <si>
    <t>Multiplier Override</t>
  </si>
  <si>
    <t>Traits</t>
  </si>
  <si>
    <t>Tags</t>
  </si>
  <si>
    <t>Edge</t>
  </si>
  <si>
    <t>Reservas</t>
  </si>
  <si>
    <t>Poderes</t>
  </si>
  <si>
    <t>Talentos</t>
  </si>
  <si>
    <t>Origen</t>
  </si>
  <si>
    <t>Alineamiento</t>
  </si>
  <si>
    <t>Identidad</t>
  </si>
  <si>
    <t>Tamaño</t>
  </si>
  <si>
    <t>Nombre Clave</t>
  </si>
  <si>
    <t>Rango</t>
  </si>
  <si>
    <r>
      <t xml:space="preserve">Karma </t>
    </r>
    <r>
      <rPr>
        <b/>
        <sz val="10"/>
        <color rgb="FFFF7C80"/>
        <rFont val="Calibri"/>
        <family val="2"/>
        <scheme val="minor"/>
      </rPr>
      <t>Rango</t>
    </r>
  </si>
  <si>
    <t>Velocidad</t>
  </si>
  <si>
    <r>
      <rPr>
        <b/>
        <sz val="10"/>
        <color theme="1"/>
        <rFont val="Calibri"/>
        <family val="2"/>
        <scheme val="minor"/>
      </rPr>
      <t>Correr</t>
    </r>
    <r>
      <rPr>
        <sz val="10"/>
        <color theme="1"/>
        <rFont val="Calibri"/>
        <family val="2"/>
        <scheme val="minor"/>
      </rPr>
      <t xml:space="preserve"> 5, </t>
    </r>
    <r>
      <rPr>
        <b/>
        <sz val="10"/>
        <color theme="1"/>
        <rFont val="Calibri"/>
        <family val="2"/>
        <scheme val="minor"/>
      </rPr>
      <t>Trepar</t>
    </r>
    <r>
      <rPr>
        <sz val="10"/>
        <color theme="1"/>
        <rFont val="Calibri"/>
        <family val="2"/>
        <scheme val="minor"/>
      </rPr>
      <t xml:space="preserve"> 3, </t>
    </r>
    <r>
      <rPr>
        <b/>
        <sz val="10"/>
        <color theme="1"/>
        <rFont val="Calibri"/>
        <family val="2"/>
        <scheme val="minor"/>
      </rPr>
      <t xml:space="preserve">Nadar </t>
    </r>
    <r>
      <rPr>
        <sz val="10"/>
        <color theme="1"/>
        <rFont val="Calibri"/>
        <family val="2"/>
        <scheme val="minor"/>
      </rPr>
      <t xml:space="preserve">3, </t>
    </r>
    <r>
      <rPr>
        <b/>
        <sz val="10"/>
        <color theme="1"/>
        <rFont val="Calibri"/>
        <family val="2"/>
        <scheme val="minor"/>
      </rPr>
      <t>Saltar</t>
    </r>
    <r>
      <rPr>
        <sz val="10"/>
        <color theme="1"/>
        <rFont val="Calibri"/>
        <family val="2"/>
        <scheme val="minor"/>
      </rPr>
      <t xml:space="preserve"> 3</t>
    </r>
  </si>
  <si>
    <t>Daño</t>
  </si>
  <si>
    <t>Avances</t>
  </si>
  <si>
    <t>Habilidades</t>
  </si>
  <si>
    <t>Valor de Habilidad</t>
  </si>
  <si>
    <t>Defensa de Habilidad</t>
  </si>
  <si>
    <t>Poder</t>
  </si>
  <si>
    <t>P. Habilidad</t>
  </si>
  <si>
    <t>Agilidad</t>
  </si>
  <si>
    <t>Vigilancia</t>
  </si>
  <si>
    <t>Resiliencia</t>
  </si>
  <si>
    <r>
      <t xml:space="preserve">Vida </t>
    </r>
    <r>
      <rPr>
        <b/>
        <sz val="10"/>
        <color rgb="FFFF7C80"/>
        <rFont val="Calibri"/>
        <family val="2"/>
        <scheme val="minor"/>
      </rPr>
      <t>Resiliencia x 30</t>
    </r>
  </si>
  <si>
    <t>Reducción de Daño</t>
  </si>
  <si>
    <r>
      <t xml:space="preserve">Focus </t>
    </r>
    <r>
      <rPr>
        <b/>
        <sz val="10"/>
        <color rgb="FFFF7C80"/>
        <rFont val="Calibri"/>
        <family val="2"/>
        <scheme val="minor"/>
      </rPr>
      <t>Vigilancia x 30</t>
    </r>
  </si>
  <si>
    <t>Modificador de Iniciativa</t>
  </si>
  <si>
    <t>Lógica</t>
  </si>
  <si>
    <t>Otra Información</t>
  </si>
  <si>
    <t>Ocupación</t>
  </si>
  <si>
    <t>Nombre</t>
  </si>
  <si>
    <t>☑</t>
  </si>
  <si>
    <t>Heroico</t>
  </si>
  <si>
    <t>Secreta</t>
  </si>
  <si>
    <r>
      <rPr>
        <b/>
        <sz val="10"/>
        <color theme="1"/>
        <rFont val="Calibri"/>
        <family val="2"/>
        <scheme val="minor"/>
      </rPr>
      <t>Volar</t>
    </r>
    <r>
      <rPr>
        <sz val="10"/>
        <color theme="1"/>
        <rFont val="Calibri"/>
        <family val="2"/>
        <scheme val="minor"/>
      </rPr>
      <t xml:space="preserve"> 5</t>
    </r>
  </si>
  <si>
    <t>Basic</t>
  </si>
  <si>
    <t>Descripciones de Traits y Poderes</t>
  </si>
  <si>
    <t>Dancer</t>
  </si>
  <si>
    <t>Entrenamiento Especial</t>
  </si>
  <si>
    <t>Aventurero</t>
  </si>
  <si>
    <t>Acrobacia +1</t>
  </si>
  <si>
    <t>Superheroes +1</t>
  </si>
  <si>
    <t>Tratos +1</t>
  </si>
  <si>
    <t>Fearless</t>
  </si>
  <si>
    <t>Signature Weapon: Dual Chakrams</t>
  </si>
  <si>
    <t>Brawling, Wisecracker</t>
  </si>
  <si>
    <t>Fast Attacks</t>
  </si>
  <si>
    <t>Ranged Weapons</t>
  </si>
  <si>
    <t>Melee Weapons: Sharp</t>
  </si>
  <si>
    <r>
      <rPr>
        <b/>
        <sz val="10"/>
        <color theme="1"/>
        <rFont val="Calibri"/>
        <family val="2"/>
        <scheme val="minor"/>
      </rPr>
      <t xml:space="preserve">Dual Chakrams (Permanente): </t>
    </r>
    <r>
      <rPr>
        <sz val="10"/>
        <color theme="1"/>
        <rFont val="Calibri"/>
        <family val="2"/>
        <scheme val="minor"/>
      </rPr>
      <t>Arma Melee y de Rango. Rango 20. +1 al Multiplicador de Melee y Agilidad.</t>
    </r>
  </si>
  <si>
    <r>
      <t xml:space="preserve">Fearless: </t>
    </r>
    <r>
      <rPr>
        <sz val="11"/>
        <color theme="1"/>
        <rFont val="Calibri"/>
        <family val="2"/>
        <scheme val="minor"/>
      </rPr>
      <t>Tienes ventaja en chekeos para superar miedo.</t>
    </r>
  </si>
  <si>
    <t>Brawling (Permanete)</t>
  </si>
  <si>
    <t>Usas tu Defensa de Melee como Defensa de Agilidad.</t>
  </si>
  <si>
    <t>Wisecraker (Reaccion)</t>
  </si>
  <si>
    <t>Snap Shooting, Weapons Blazing</t>
  </si>
  <si>
    <t>Fast Attacks (Melee Weapons, Standard, Instantáneo)</t>
  </si>
  <si>
    <t>Cuando relizas un ataque exitoso o cuando alguien falla un ataque contra ti. Ataque de Ego vs Defensa de Ego. En un éxito: Daño normal. Si es Fantastico: Doble daño y el objetivo esta Aturdido.</t>
  </si>
  <si>
    <t>Ataque de Melee vs Defensa de Melee. Puede dividir daño entre dos enemigos en rango. En un éxito: Daño normal. Si es Fantastico: Daño normal y utiliza este poder devuelta sin gastar una accion.</t>
  </si>
  <si>
    <t>Snap Shooting (Ranged Weapons, Standard, Instantáneo)</t>
  </si>
  <si>
    <t>Ataque de Agilidad vs Defensa de Agilidad. Puede dividir daño entre dos enemigos en rango. En un éxito: Daño normal. Si es Fantastico: Daño normal y el objetivo esta Sangrando.</t>
  </si>
  <si>
    <t>Weapons Blazing (Ranged Weapons, Standard, Instantáneo)</t>
  </si>
  <si>
    <t>Ataque de Agilidad vs Defensa de Agilidad. Puede dividir daño entre dos enemigos en rango. En un éxito: Daño normal. Si es Fantastico: Daño normal y utiliza este poder devuelta sin gastar una accion.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</si>
</sst>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7C8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E7E7"/>
        <bgColor indexed="64"/>
      </patternFill>
    </fill>
  </fills>
  <borders count="58">
    <border>
      <left/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/>
      <right/>
      <top style="medium">
        <color rgb="FFC00000"/>
      </top>
      <bottom/>
      <diagonal/>
    </border>
    <border>
      <left/>
      <right/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thin">
        <color rgb="FFC00000"/>
      </bottom>
      <diagonal/>
    </border>
    <border>
      <left/>
      <right/>
      <top style="medium">
        <color rgb="FFC00000"/>
      </top>
      <bottom style="thin">
        <color rgb="FFC00000"/>
      </bottom>
      <diagonal/>
    </border>
    <border>
      <left/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C00000"/>
      </right>
      <top/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rgb="FFC00000"/>
      </bottom>
      <diagonal/>
    </border>
    <border>
      <left style="medium">
        <color rgb="FFC00000"/>
      </left>
      <right style="medium">
        <color rgb="FFC00000"/>
      </right>
      <top/>
      <bottom style="thin">
        <color rgb="FFC00000"/>
      </bottom>
      <diagonal/>
    </border>
    <border>
      <left/>
      <right style="thin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rgb="FFC00000"/>
      </bottom>
      <diagonal/>
    </border>
    <border>
      <left/>
      <right style="medium">
        <color rgb="FFC00000"/>
      </right>
      <top/>
      <bottom style="thin">
        <color rgb="FFC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thin">
        <color rgb="FFC00000"/>
      </top>
      <bottom style="medium">
        <color rgb="FFC00000"/>
      </bottom>
      <diagonal/>
    </border>
    <border>
      <left/>
      <right style="medium">
        <color rgb="FFC00000"/>
      </right>
      <top style="thin">
        <color rgb="FFC00000"/>
      </top>
      <bottom style="medium">
        <color rgb="FFC00000"/>
      </bottom>
      <diagonal/>
    </border>
    <border>
      <left style="medium">
        <color rgb="FFC00000"/>
      </left>
      <right/>
      <top style="thin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C00000"/>
      </left>
      <right/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0" fillId="0" borderId="0" xfId="0" applyAlignment="1">
      <alignment horizontal="center"/>
    </xf>
    <xf numFmtId="0" fontId="0" fillId="5" borderId="18" xfId="0" applyFill="1" applyBorder="1"/>
    <xf numFmtId="0" fontId="0" fillId="5" borderId="17" xfId="0" applyFill="1" applyBorder="1" applyAlignment="1">
      <alignment horizontal="center"/>
    </xf>
    <xf numFmtId="0" fontId="0" fillId="5" borderId="17" xfId="0" applyFill="1" applyBorder="1"/>
    <xf numFmtId="0" fontId="0" fillId="5" borderId="0" xfId="0" applyFill="1" applyAlignment="1">
      <alignment horizontal="center"/>
    </xf>
    <xf numFmtId="0" fontId="0" fillId="5" borderId="26" xfId="0" applyFill="1" applyBorder="1"/>
    <xf numFmtId="0" fontId="0" fillId="5" borderId="2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/>
    <xf numFmtId="0" fontId="0" fillId="5" borderId="30" xfId="0" applyFill="1" applyBorder="1"/>
    <xf numFmtId="0" fontId="0" fillId="5" borderId="32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5" borderId="22" xfId="0" applyFill="1" applyBorder="1"/>
    <xf numFmtId="0" fontId="0" fillId="5" borderId="35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4" borderId="37" xfId="0" applyFill="1" applyBorder="1"/>
    <xf numFmtId="0" fontId="0" fillId="4" borderId="25" xfId="0" applyFill="1" applyBorder="1" applyAlignment="1">
      <alignment horizontal="center"/>
    </xf>
    <xf numFmtId="0" fontId="1" fillId="6" borderId="26" xfId="0" applyFont="1" applyFill="1" applyBorder="1" applyAlignment="1">
      <alignment horizontal="center" wrapText="1"/>
    </xf>
    <xf numFmtId="0" fontId="1" fillId="6" borderId="31" xfId="0" applyFont="1" applyFill="1" applyBorder="1" applyAlignment="1">
      <alignment horizontal="center" wrapText="1"/>
    </xf>
    <xf numFmtId="0" fontId="1" fillId="6" borderId="21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0" fillId="5" borderId="38" xfId="0" applyFill="1" applyBorder="1"/>
    <xf numFmtId="0" fontId="0" fillId="5" borderId="39" xfId="0" applyFill="1" applyBorder="1"/>
    <xf numFmtId="0" fontId="0" fillId="5" borderId="40" xfId="0" applyFill="1" applyBorder="1" applyAlignment="1">
      <alignment horizontal="center"/>
    </xf>
    <xf numFmtId="0" fontId="0" fillId="5" borderId="48" xfId="0" applyFill="1" applyBorder="1"/>
    <xf numFmtId="0" fontId="0" fillId="0" borderId="46" xfId="0" applyBorder="1"/>
    <xf numFmtId="0" fontId="0" fillId="5" borderId="49" xfId="0" applyFill="1" applyBorder="1"/>
    <xf numFmtId="0" fontId="0" fillId="5" borderId="47" xfId="0" applyFill="1" applyBorder="1" applyAlignment="1">
      <alignment horizontal="center"/>
    </xf>
    <xf numFmtId="0" fontId="3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" fillId="7" borderId="55" xfId="0" applyFont="1" applyFill="1" applyBorder="1"/>
    <xf numFmtId="0" fontId="2" fillId="7" borderId="5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3" fillId="7" borderId="7" xfId="0" applyFont="1" applyFill="1" applyBorder="1"/>
    <xf numFmtId="0" fontId="3" fillId="7" borderId="6" xfId="0" applyFont="1" applyFill="1" applyBorder="1"/>
    <xf numFmtId="0" fontId="3" fillId="7" borderId="8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2" fillId="7" borderId="56" xfId="0" applyFont="1" applyFill="1" applyBorder="1"/>
    <xf numFmtId="0" fontId="2" fillId="7" borderId="1" xfId="0" applyFont="1" applyFill="1" applyBorder="1"/>
    <xf numFmtId="0" fontId="2" fillId="7" borderId="56" xfId="0" applyFont="1" applyFill="1" applyBorder="1" applyAlignment="1">
      <alignment horizontal="left"/>
    </xf>
    <xf numFmtId="0" fontId="11" fillId="0" borderId="0" xfId="0" applyFont="1"/>
    <xf numFmtId="0" fontId="6" fillId="2" borderId="56" xfId="0" applyFont="1" applyFill="1" applyBorder="1" applyAlignment="1">
      <alignment horizontal="left"/>
    </xf>
    <xf numFmtId="0" fontId="13" fillId="7" borderId="8" xfId="0" applyFont="1" applyFill="1" applyBorder="1"/>
    <xf numFmtId="0" fontId="13" fillId="7" borderId="7" xfId="0" applyFont="1" applyFill="1" applyBorder="1"/>
    <xf numFmtId="0" fontId="3" fillId="7" borderId="0" xfId="0" applyFont="1" applyFill="1"/>
    <xf numFmtId="0" fontId="3" fillId="7" borderId="7" xfId="0" applyFont="1" applyFill="1" applyBorder="1"/>
    <xf numFmtId="0" fontId="3" fillId="7" borderId="13" xfId="0" applyFont="1" applyFill="1" applyBorder="1"/>
    <xf numFmtId="0" fontId="3" fillId="7" borderId="6" xfId="0" applyFont="1" applyFill="1" applyBorder="1"/>
    <xf numFmtId="0" fontId="3" fillId="7" borderId="12" xfId="0" applyFont="1" applyFill="1" applyBorder="1"/>
    <xf numFmtId="0" fontId="3" fillId="7" borderId="4" xfId="0" applyFont="1" applyFill="1" applyBorder="1"/>
    <xf numFmtId="0" fontId="3" fillId="7" borderId="8" xfId="0" applyFont="1" applyFill="1" applyBorder="1" applyAlignment="1">
      <alignment horizontal="left"/>
    </xf>
    <xf numFmtId="0" fontId="3" fillId="7" borderId="7" xfId="0" applyFont="1" applyFill="1" applyBorder="1" applyAlignment="1">
      <alignment horizontal="left"/>
    </xf>
    <xf numFmtId="0" fontId="3" fillId="7" borderId="5" xfId="0" applyFont="1" applyFill="1" applyBorder="1" applyAlignment="1">
      <alignment horizontal="left"/>
    </xf>
    <xf numFmtId="0" fontId="3" fillId="7" borderId="6" xfId="0" applyFont="1" applyFill="1" applyBorder="1" applyAlignment="1">
      <alignment horizontal="left"/>
    </xf>
    <xf numFmtId="0" fontId="2" fillId="7" borderId="9" xfId="0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left"/>
    </xf>
    <xf numFmtId="0" fontId="3" fillId="7" borderId="57" xfId="0" applyFont="1" applyFill="1" applyBorder="1" applyAlignment="1">
      <alignment horizontal="left"/>
    </xf>
    <xf numFmtId="0" fontId="3" fillId="7" borderId="20" xfId="0" applyFont="1" applyFill="1" applyBorder="1" applyAlignment="1">
      <alignment horizontal="left"/>
    </xf>
    <xf numFmtId="0" fontId="3" fillId="7" borderId="10" xfId="0" applyFont="1" applyFill="1" applyBorder="1" applyAlignment="1">
      <alignment horizontal="left"/>
    </xf>
    <xf numFmtId="0" fontId="3" fillId="7" borderId="5" xfId="0" applyFont="1" applyFill="1" applyBorder="1" applyAlignment="1">
      <alignment horizontal="left" wrapText="1"/>
    </xf>
    <xf numFmtId="0" fontId="3" fillId="7" borderId="13" xfId="0" applyFont="1" applyFill="1" applyBorder="1" applyAlignment="1">
      <alignment horizontal="left" wrapText="1"/>
    </xf>
    <xf numFmtId="0" fontId="3" fillId="7" borderId="6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2" fillId="3" borderId="42" xfId="0" applyFont="1" applyFill="1" applyBorder="1" applyAlignment="1">
      <alignment horizontal="center" wrapText="1"/>
    </xf>
    <xf numFmtId="0" fontId="2" fillId="7" borderId="8" xfId="0" applyFont="1" applyFill="1" applyBorder="1"/>
    <xf numFmtId="0" fontId="2" fillId="7" borderId="0" xfId="0" applyFont="1" applyFill="1"/>
    <xf numFmtId="0" fontId="9" fillId="2" borderId="11" xfId="0" applyFont="1" applyFill="1" applyBorder="1" applyAlignment="1">
      <alignment horizontal="center" vertical="center" textRotation="90"/>
    </xf>
    <xf numFmtId="0" fontId="11" fillId="7" borderId="5" xfId="0" applyFont="1" applyFill="1" applyBorder="1" applyAlignment="1">
      <alignment horizontal="center"/>
    </xf>
    <xf numFmtId="0" fontId="11" fillId="7" borderId="13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left" wrapText="1"/>
    </xf>
    <xf numFmtId="0" fontId="2" fillId="7" borderId="13" xfId="0" applyFont="1" applyFill="1" applyBorder="1" applyAlignment="1">
      <alignment horizontal="left" wrapText="1"/>
    </xf>
    <xf numFmtId="0" fontId="3" fillId="7" borderId="8" xfId="0" applyFont="1" applyFill="1" applyBorder="1" applyAlignment="1">
      <alignment horizontal="left" wrapText="1"/>
    </xf>
    <xf numFmtId="0" fontId="3" fillId="7" borderId="0" xfId="0" applyFont="1" applyFill="1" applyAlignment="1">
      <alignment horizontal="left" wrapText="1"/>
    </xf>
    <xf numFmtId="0" fontId="3" fillId="7" borderId="7" xfId="0" applyFont="1" applyFill="1" applyBorder="1" applyAlignment="1">
      <alignment horizontal="left" wrapText="1"/>
    </xf>
    <xf numFmtId="0" fontId="6" fillId="2" borderId="3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left"/>
    </xf>
    <xf numFmtId="0" fontId="6" fillId="2" borderId="20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left"/>
    </xf>
    <xf numFmtId="0" fontId="2" fillId="7" borderId="5" xfId="0" applyFont="1" applyFill="1" applyBorder="1"/>
    <xf numFmtId="0" fontId="2" fillId="7" borderId="13" xfId="0" applyFont="1" applyFill="1" applyBorder="1"/>
    <xf numFmtId="0" fontId="12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left"/>
    </xf>
    <xf numFmtId="0" fontId="2" fillId="7" borderId="15" xfId="0" applyFont="1" applyFill="1" applyBorder="1" applyAlignment="1">
      <alignment horizontal="left"/>
    </xf>
    <xf numFmtId="0" fontId="2" fillId="7" borderId="16" xfId="0" applyFont="1" applyFill="1" applyBorder="1" applyAlignment="1">
      <alignment horizontal="left"/>
    </xf>
    <xf numFmtId="0" fontId="2" fillId="7" borderId="3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44" xfId="0" applyFont="1" applyFill="1" applyBorder="1" applyAlignment="1">
      <alignment horizontal="center" vertical="center"/>
    </xf>
    <xf numFmtId="0" fontId="2" fillId="7" borderId="41" xfId="0" applyFont="1" applyFill="1" applyBorder="1" applyAlignment="1">
      <alignment horizontal="center" vertical="center"/>
    </xf>
    <xf numFmtId="0" fontId="2" fillId="7" borderId="45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2" borderId="8" xfId="0" applyFont="1" applyFill="1" applyBorder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6" fillId="2" borderId="5" xfId="0" applyFont="1" applyFill="1" applyBorder="1" applyAlignment="1">
      <alignment horizontal="center" wrapText="1"/>
    </xf>
    <xf numFmtId="0" fontId="6" fillId="2" borderId="13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left" wrapText="1"/>
    </xf>
    <xf numFmtId="0" fontId="2" fillId="7" borderId="15" xfId="0" applyFont="1" applyFill="1" applyBorder="1" applyAlignment="1">
      <alignment horizontal="left" wrapText="1"/>
    </xf>
    <xf numFmtId="0" fontId="2" fillId="7" borderId="16" xfId="0" applyFont="1" applyFill="1" applyBorder="1" applyAlignment="1">
      <alignment horizontal="left" wrapText="1"/>
    </xf>
    <xf numFmtId="0" fontId="3" fillId="7" borderId="51" xfId="0" applyFont="1" applyFill="1" applyBorder="1" applyAlignment="1">
      <alignment horizontal="left" wrapText="1"/>
    </xf>
    <xf numFmtId="0" fontId="3" fillId="7" borderId="52" xfId="0" applyFont="1" applyFill="1" applyBorder="1" applyAlignment="1">
      <alignment horizontal="left" wrapText="1"/>
    </xf>
    <xf numFmtId="0" fontId="3" fillId="7" borderId="53" xfId="0" applyFont="1" applyFill="1" applyBorder="1" applyAlignment="1">
      <alignment horizontal="right" wrapText="1"/>
    </xf>
    <xf numFmtId="0" fontId="3" fillId="7" borderId="51" xfId="0" applyFont="1" applyFill="1" applyBorder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center" vertical="center" textRotation="90"/>
    </xf>
    <xf numFmtId="0" fontId="12" fillId="0" borderId="13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7" borderId="3" xfId="0" applyFont="1" applyFill="1" applyBorder="1"/>
    <xf numFmtId="0" fontId="2" fillId="7" borderId="12" xfId="0" applyFont="1" applyFill="1" applyBorder="1"/>
    <xf numFmtId="0" fontId="13" fillId="7" borderId="3" xfId="0" applyFont="1" applyFill="1" applyBorder="1" applyAlignment="1">
      <alignment horizontal="left" vertical="top"/>
    </xf>
    <xf numFmtId="0" fontId="13" fillId="7" borderId="12" xfId="0" applyFont="1" applyFill="1" applyBorder="1" applyAlignment="1">
      <alignment horizontal="left" vertical="top"/>
    </xf>
    <xf numFmtId="0" fontId="13" fillId="7" borderId="4" xfId="0" applyFont="1" applyFill="1" applyBorder="1" applyAlignment="1">
      <alignment horizontal="left" vertical="top"/>
    </xf>
    <xf numFmtId="0" fontId="0" fillId="7" borderId="8" xfId="0" applyFill="1" applyBorder="1" applyAlignment="1">
      <alignment horizontal="left"/>
    </xf>
    <xf numFmtId="0" fontId="0" fillId="7" borderId="7" xfId="0" applyFill="1" applyBorder="1" applyAlignment="1">
      <alignment horizontal="left"/>
    </xf>
    <xf numFmtId="0" fontId="0" fillId="7" borderId="8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5" xfId="0" applyFill="1" applyBorder="1" applyAlignment="1">
      <alignment horizontal="left"/>
    </xf>
    <xf numFmtId="0" fontId="0" fillId="7" borderId="13" xfId="0" applyFill="1" applyBorder="1" applyAlignment="1">
      <alignment horizontal="left"/>
    </xf>
    <xf numFmtId="0" fontId="0" fillId="7" borderId="6" xfId="0" applyFill="1" applyBorder="1" applyAlignment="1">
      <alignment horizontal="left"/>
    </xf>
    <xf numFmtId="0" fontId="0" fillId="7" borderId="8" xfId="0" applyFill="1" applyBorder="1" applyAlignment="1">
      <alignment horizontal="left" wrapText="1"/>
    </xf>
    <xf numFmtId="0" fontId="0" fillId="7" borderId="7" xfId="0" applyFill="1" applyBorder="1" applyAlignment="1">
      <alignment horizontal="left" wrapText="1"/>
    </xf>
    <xf numFmtId="0" fontId="0" fillId="7" borderId="44" xfId="0" applyFill="1" applyBorder="1" applyAlignment="1">
      <alignment horizontal="left" wrapText="1"/>
    </xf>
    <xf numFmtId="0" fontId="0" fillId="7" borderId="41" xfId="0" applyFill="1" applyBorder="1" applyAlignment="1">
      <alignment horizontal="left" wrapText="1"/>
    </xf>
    <xf numFmtId="0" fontId="0" fillId="7" borderId="45" xfId="0" applyFill="1" applyBorder="1" applyAlignment="1">
      <alignment horizontal="left" wrapText="1"/>
    </xf>
    <xf numFmtId="0" fontId="0" fillId="7" borderId="8" xfId="0" applyFill="1" applyBorder="1" applyAlignment="1">
      <alignment horizontal="left" vertical="top" wrapText="1"/>
    </xf>
    <xf numFmtId="0" fontId="0" fillId="7" borderId="7" xfId="0" applyFill="1" applyBorder="1" applyAlignment="1">
      <alignment horizontal="left" vertical="top" wrapText="1"/>
    </xf>
    <xf numFmtId="0" fontId="0" fillId="7" borderId="44" xfId="0" applyFill="1" applyBorder="1" applyAlignment="1">
      <alignment horizontal="left" vertical="top" wrapText="1"/>
    </xf>
    <xf numFmtId="0" fontId="0" fillId="7" borderId="41" xfId="0" applyFill="1" applyBorder="1" applyAlignment="1">
      <alignment horizontal="left" vertical="top" wrapText="1"/>
    </xf>
    <xf numFmtId="0" fontId="0" fillId="7" borderId="45" xfId="0" applyFill="1" applyBorder="1" applyAlignment="1">
      <alignment horizontal="left" vertical="top" wrapText="1"/>
    </xf>
    <xf numFmtId="0" fontId="13" fillId="7" borderId="8" xfId="0" applyFont="1" applyFill="1" applyBorder="1" applyAlignment="1">
      <alignment horizontal="left" vertical="top" wrapText="1"/>
    </xf>
    <xf numFmtId="0" fontId="13" fillId="7" borderId="7" xfId="0" applyFont="1" applyFill="1" applyBorder="1" applyAlignment="1">
      <alignment horizontal="left" vertical="top" wrapText="1"/>
    </xf>
    <xf numFmtId="0" fontId="13" fillId="7" borderId="8" xfId="0" applyFont="1" applyFill="1" applyBorder="1" applyAlignment="1">
      <alignment horizontal="left"/>
    </xf>
    <xf numFmtId="0" fontId="0" fillId="7" borderId="5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8" fillId="2" borderId="3" xfId="0" applyFont="1" applyFill="1" applyBorder="1" applyAlignment="1">
      <alignment horizontal="left" vertical="top"/>
    </xf>
    <xf numFmtId="0" fontId="8" fillId="2" borderId="12" xfId="0" applyFont="1" applyFill="1" applyBorder="1" applyAlignment="1">
      <alignment horizontal="left" vertical="top"/>
    </xf>
    <xf numFmtId="0" fontId="8" fillId="2" borderId="4" xfId="0" applyFont="1" applyFill="1" applyBorder="1" applyAlignment="1">
      <alignment horizontal="left" vertical="top"/>
    </xf>
    <xf numFmtId="0" fontId="13" fillId="7" borderId="3" xfId="0" applyFont="1" applyFill="1" applyBorder="1" applyAlignment="1">
      <alignment horizontal="left" wrapText="1"/>
    </xf>
    <xf numFmtId="0" fontId="0" fillId="7" borderId="12" xfId="0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6" borderId="22" xfId="0" applyFont="1" applyFill="1" applyBorder="1" applyAlignment="1">
      <alignment horizontal="center" wrapText="1"/>
    </xf>
    <xf numFmtId="0" fontId="1" fillId="6" borderId="23" xfId="0" applyFont="1" applyFill="1" applyBorder="1" applyAlignment="1">
      <alignment horizontal="center" wrapText="1"/>
    </xf>
    <xf numFmtId="0" fontId="1" fillId="6" borderId="24" xfId="0" applyFont="1" applyFill="1" applyBorder="1" applyAlignment="1">
      <alignment horizontal="center" wrapText="1"/>
    </xf>
    <xf numFmtId="0" fontId="1" fillId="6" borderId="50" xfId="0" applyFont="1" applyFill="1" applyBorder="1" applyAlignment="1">
      <alignment horizontal="center" wrapText="1"/>
    </xf>
    <xf numFmtId="0" fontId="1" fillId="6" borderId="22" xfId="0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left" vertical="top" wrapText="1"/>
    </xf>
    <xf numFmtId="0" fontId="3" fillId="7" borderId="4" xfId="0" applyFont="1" applyFill="1" applyBorder="1" applyAlignment="1">
      <alignment horizontal="left" vertical="top" wrapText="1"/>
    </xf>
    <xf numFmtId="0" fontId="3" fillId="7" borderId="8" xfId="0" applyFont="1" applyFill="1" applyBorder="1" applyAlignment="1">
      <alignment horizontal="left" vertical="top" wrapText="1"/>
    </xf>
    <xf numFmtId="0" fontId="3" fillId="7" borderId="7" xfId="0" applyFont="1" applyFill="1" applyBorder="1" applyAlignment="1">
      <alignment horizontal="left" vertical="top" wrapText="1"/>
    </xf>
    <xf numFmtId="0" fontId="3" fillId="7" borderId="0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 wrapText="1"/>
    </xf>
    <xf numFmtId="0" fontId="3" fillId="7" borderId="13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7" borderId="12" xfId="0" applyFont="1" applyFill="1" applyBorder="1" applyAlignment="1">
      <alignment horizontal="left" vertical="top" wrapText="1"/>
    </xf>
    <xf numFmtId="0" fontId="3" fillId="7" borderId="0" xfId="0" applyFont="1" applyFill="1" applyBorder="1" applyAlignment="1">
      <alignment horizontal="left" vertical="top" wrapText="1"/>
    </xf>
    <xf numFmtId="0" fontId="0" fillId="7" borderId="0" xfId="0" applyFill="1" applyBorder="1" applyAlignment="1">
      <alignment horizontal="center"/>
    </xf>
    <xf numFmtId="0" fontId="0" fillId="7" borderId="0" xfId="0" applyFill="1" applyBorder="1" applyAlignment="1">
      <alignment horizontal="left"/>
    </xf>
    <xf numFmtId="0" fontId="0" fillId="7" borderId="0" xfId="0" applyFill="1" applyBorder="1" applyAlignment="1">
      <alignment horizontal="left" vertical="top" wrapText="1"/>
    </xf>
    <xf numFmtId="0" fontId="13" fillId="7" borderId="0" xfId="0" applyFont="1" applyFill="1" applyBorder="1"/>
    <xf numFmtId="0" fontId="0" fillId="7" borderId="0" xfId="0" applyFill="1" applyBorder="1" applyAlignment="1">
      <alignment horizontal="left" wrapText="1"/>
    </xf>
    <xf numFmtId="0" fontId="13" fillId="7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7E7"/>
      <color rgb="FFFFD9D9"/>
      <color rgb="FFFFCCCC"/>
      <color rgb="FFFF6699"/>
      <color rgb="FFFF7C80"/>
      <color rgb="FFFFCC9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zoomScale="115" zoomScaleNormal="115" workbookViewId="0">
      <selection activeCell="G47" sqref="G47:N48"/>
    </sheetView>
  </sheetViews>
  <sheetFormatPr baseColWidth="10" defaultColWidth="9.140625" defaultRowHeight="15" x14ac:dyDescent="0.25"/>
  <cols>
    <col min="1" max="3" width="4.7109375" customWidth="1"/>
    <col min="4" max="4" width="6.28515625" customWidth="1"/>
    <col min="5" max="5" width="10.5703125" customWidth="1"/>
    <col min="6" max="6" width="4" customWidth="1"/>
    <col min="7" max="7" width="11.7109375" customWidth="1"/>
    <col min="8" max="8" width="7.7109375" customWidth="1"/>
    <col min="9" max="9" width="2.7109375" customWidth="1"/>
    <col min="10" max="11" width="9.7109375" customWidth="1"/>
    <col min="12" max="12" width="2.7109375" customWidth="1"/>
    <col min="13" max="14" width="9.7109375" customWidth="1"/>
    <col min="15" max="15" width="7.7109375" customWidth="1"/>
    <col min="16" max="16" width="4.140625" customWidth="1"/>
    <col min="17" max="17" width="3.85546875" customWidth="1"/>
    <col min="18" max="18" width="3.5703125" customWidth="1"/>
  </cols>
  <sheetData>
    <row r="1" spans="1:15" ht="14.1" customHeight="1" thickBot="1" x14ac:dyDescent="0.3">
      <c r="A1" s="120" t="e" vm="1">
        <v>#VALUE!</v>
      </c>
      <c r="B1" s="120"/>
      <c r="C1" s="120"/>
      <c r="D1" s="120"/>
      <c r="E1" s="12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ht="14.1" customHeight="1" thickBot="1" x14ac:dyDescent="0.3">
      <c r="A2" s="120"/>
      <c r="B2" s="120"/>
      <c r="C2" s="120"/>
      <c r="D2" s="120"/>
      <c r="E2" s="120"/>
      <c r="F2" s="30"/>
      <c r="G2" s="33" t="s">
        <v>50</v>
      </c>
      <c r="H2" s="73"/>
      <c r="I2" s="74"/>
      <c r="J2" s="75"/>
      <c r="K2" s="59" t="s">
        <v>48</v>
      </c>
      <c r="L2" s="60"/>
      <c r="M2" s="60"/>
      <c r="N2" s="61"/>
    </row>
    <row r="3" spans="1:15" ht="14.1" customHeight="1" thickBot="1" x14ac:dyDescent="0.3">
      <c r="A3" s="120"/>
      <c r="B3" s="120"/>
      <c r="C3" s="120"/>
      <c r="D3" s="120"/>
      <c r="E3" s="120"/>
      <c r="F3" s="30"/>
      <c r="G3" s="33" t="s">
        <v>24</v>
      </c>
      <c r="H3" s="73" t="s">
        <v>58</v>
      </c>
      <c r="I3" s="74"/>
      <c r="J3" s="75"/>
      <c r="K3" s="62"/>
      <c r="L3" s="63"/>
      <c r="M3" s="63"/>
      <c r="N3" s="64"/>
    </row>
    <row r="4" spans="1:15" ht="14.1" customHeight="1" thickBot="1" x14ac:dyDescent="0.3">
      <c r="A4" s="120"/>
      <c r="B4" s="120"/>
      <c r="C4" s="120"/>
      <c r="D4" s="120"/>
      <c r="E4" s="120"/>
      <c r="F4" s="30"/>
      <c r="G4" s="33" t="s">
        <v>49</v>
      </c>
      <c r="H4" s="73" t="s">
        <v>59</v>
      </c>
      <c r="I4" s="74"/>
      <c r="J4" s="75"/>
      <c r="K4" s="65"/>
      <c r="L4" s="66"/>
      <c r="M4" s="66"/>
      <c r="N4" s="67"/>
    </row>
    <row r="5" spans="1:15" ht="14.1" customHeight="1" thickBot="1" x14ac:dyDescent="0.3">
      <c r="A5" s="108" t="s">
        <v>28</v>
      </c>
      <c r="B5" s="109"/>
      <c r="C5" s="109"/>
      <c r="D5" s="110"/>
      <c r="E5" s="34" t="s">
        <v>29</v>
      </c>
      <c r="F5" s="30"/>
      <c r="G5" s="33" t="s">
        <v>25</v>
      </c>
      <c r="H5" s="73" t="s">
        <v>52</v>
      </c>
      <c r="I5" s="74"/>
      <c r="J5" s="75"/>
      <c r="K5" s="65"/>
      <c r="L5" s="66"/>
      <c r="M5" s="66"/>
      <c r="N5" s="67"/>
    </row>
    <row r="6" spans="1:15" ht="14.1" customHeight="1" thickBot="1" x14ac:dyDescent="0.3">
      <c r="A6" s="76" t="s">
        <v>57</v>
      </c>
      <c r="B6" s="77"/>
      <c r="C6" s="77"/>
      <c r="D6" s="78"/>
      <c r="E6" s="35">
        <v>1</v>
      </c>
      <c r="F6" s="30"/>
      <c r="G6" s="33" t="s">
        <v>26</v>
      </c>
      <c r="H6" s="73" t="s">
        <v>53</v>
      </c>
      <c r="I6" s="74"/>
      <c r="J6" s="75"/>
      <c r="K6" s="65"/>
      <c r="L6" s="66"/>
      <c r="M6" s="66"/>
      <c r="N6" s="67"/>
    </row>
    <row r="7" spans="1:15" ht="14.1" customHeight="1" thickBot="1" x14ac:dyDescent="0.3">
      <c r="A7" s="30"/>
      <c r="B7" s="30"/>
      <c r="C7" s="30"/>
      <c r="D7" s="30"/>
      <c r="E7" s="30"/>
      <c r="F7" s="30"/>
      <c r="G7" s="33" t="s">
        <v>27</v>
      </c>
      <c r="H7" s="73" t="s">
        <v>14</v>
      </c>
      <c r="I7" s="74"/>
      <c r="J7" s="75"/>
      <c r="K7" s="68"/>
      <c r="L7" s="69"/>
      <c r="M7" s="69"/>
      <c r="N7" s="70"/>
    </row>
    <row r="8" spans="1:15" ht="14.1" customHeight="1" thickBot="1" x14ac:dyDescent="0.3">
      <c r="A8" s="111" t="s">
        <v>43</v>
      </c>
      <c r="B8" s="112"/>
      <c r="C8" s="112"/>
      <c r="D8" s="113"/>
      <c r="E8" s="79" t="s">
        <v>44</v>
      </c>
      <c r="F8" s="30"/>
      <c r="J8" s="30"/>
      <c r="K8" s="30"/>
    </row>
    <row r="9" spans="1:15" ht="14.1" customHeight="1" thickBot="1" x14ac:dyDescent="0.3">
      <c r="A9" s="114"/>
      <c r="B9" s="115"/>
      <c r="C9" s="115"/>
      <c r="D9" s="116"/>
      <c r="E9" s="80"/>
      <c r="F9" s="30"/>
      <c r="G9" s="43" t="s">
        <v>23</v>
      </c>
      <c r="J9" s="44" t="s">
        <v>18</v>
      </c>
      <c r="K9" s="30"/>
      <c r="M9" s="43" t="s">
        <v>19</v>
      </c>
    </row>
    <row r="10" spans="1:15" ht="14.1" customHeight="1" thickBot="1" x14ac:dyDescent="0.3">
      <c r="A10" s="137"/>
      <c r="B10" s="138"/>
      <c r="C10" s="135" t="str">
        <f>_xlfn.CONCAT("/",IF(A30=0,10,A30*IF(Modifiers!O5,Modifiers!O5,30)) + Modifiers!N5)</f>
        <v>/30</v>
      </c>
      <c r="D10" s="136"/>
      <c r="E10" s="31"/>
      <c r="F10" s="30"/>
      <c r="G10" s="71" t="s">
        <v>60</v>
      </c>
      <c r="H10" s="72"/>
      <c r="J10" s="71" t="s">
        <v>63</v>
      </c>
      <c r="K10" s="72"/>
      <c r="M10" s="187" t="s">
        <v>64</v>
      </c>
      <c r="N10" s="188"/>
    </row>
    <row r="11" spans="1:15" ht="14.1" customHeight="1" thickBot="1" x14ac:dyDescent="0.3">
      <c r="A11" s="30"/>
      <c r="B11" s="30"/>
      <c r="C11" s="30"/>
      <c r="D11" s="30"/>
      <c r="E11" s="30"/>
      <c r="F11" s="30"/>
      <c r="G11" s="55" t="s">
        <v>61</v>
      </c>
      <c r="H11" s="56"/>
      <c r="J11" s="55"/>
      <c r="K11" s="56"/>
      <c r="M11" s="189"/>
      <c r="N11" s="190"/>
    </row>
    <row r="12" spans="1:15" ht="14.1" customHeight="1" x14ac:dyDescent="0.25">
      <c r="A12" s="111" t="s">
        <v>45</v>
      </c>
      <c r="B12" s="112"/>
      <c r="C12" s="112"/>
      <c r="D12" s="113"/>
      <c r="E12" s="79" t="s">
        <v>44</v>
      </c>
      <c r="F12" s="30"/>
      <c r="G12" s="55" t="s">
        <v>62</v>
      </c>
      <c r="H12" s="56"/>
      <c r="J12" s="55"/>
      <c r="K12" s="56"/>
      <c r="M12" s="55"/>
      <c r="N12" s="56"/>
    </row>
    <row r="13" spans="1:15" ht="14.1" customHeight="1" x14ac:dyDescent="0.25">
      <c r="A13" s="114"/>
      <c r="B13" s="115"/>
      <c r="C13" s="115"/>
      <c r="D13" s="116"/>
      <c r="E13" s="80"/>
      <c r="F13" s="30"/>
      <c r="G13" s="55"/>
      <c r="H13" s="56"/>
      <c r="J13" s="55"/>
      <c r="K13" s="56"/>
      <c r="M13" s="55"/>
      <c r="N13" s="56"/>
    </row>
    <row r="14" spans="1:15" ht="14.1" customHeight="1" thickBot="1" x14ac:dyDescent="0.3">
      <c r="A14" s="137"/>
      <c r="B14" s="138"/>
      <c r="C14" s="135" t="str">
        <f>_xlfn.CONCAT("/",IF(A32=0,10,A32*IF(Modifiers!O6,Modifiers!O6,30)) + Modifiers!N6)</f>
        <v>/10</v>
      </c>
      <c r="D14" s="136"/>
      <c r="E14" s="31"/>
      <c r="F14" s="30"/>
      <c r="G14" s="55"/>
      <c r="H14" s="56"/>
      <c r="J14" s="55"/>
      <c r="K14" s="56"/>
      <c r="M14" s="55"/>
      <c r="N14" s="56"/>
    </row>
    <row r="15" spans="1:15" ht="14.1" customHeight="1" thickBot="1" x14ac:dyDescent="0.3">
      <c r="A15" s="30"/>
      <c r="B15" s="30"/>
      <c r="C15" s="30"/>
      <c r="D15" s="30"/>
      <c r="E15" s="30"/>
      <c r="F15" s="30"/>
      <c r="G15" s="55"/>
      <c r="H15" s="56"/>
      <c r="J15" s="55"/>
      <c r="K15" s="56"/>
      <c r="M15" s="55"/>
      <c r="N15" s="56"/>
    </row>
    <row r="16" spans="1:15" ht="14.1" customHeight="1" x14ac:dyDescent="0.25">
      <c r="A16" s="111" t="s">
        <v>30</v>
      </c>
      <c r="B16" s="112"/>
      <c r="C16" s="128"/>
      <c r="D16" s="113"/>
      <c r="E16" s="79" t="s">
        <v>46</v>
      </c>
      <c r="F16" s="30"/>
      <c r="G16" s="55"/>
      <c r="H16" s="56"/>
      <c r="J16" s="55"/>
      <c r="K16" s="56"/>
      <c r="M16" s="55"/>
      <c r="N16" s="56"/>
    </row>
    <row r="17" spans="1:15" ht="14.1" customHeight="1" thickBot="1" x14ac:dyDescent="0.3">
      <c r="A17" s="129"/>
      <c r="B17" s="130"/>
      <c r="C17" s="131"/>
      <c r="D17" s="127"/>
      <c r="E17" s="80"/>
      <c r="F17" s="30"/>
      <c r="G17" s="55"/>
      <c r="H17" s="56"/>
      <c r="J17" s="55"/>
      <c r="K17" s="56"/>
      <c r="M17" s="55"/>
      <c r="N17" s="56"/>
    </row>
    <row r="18" spans="1:15" ht="14.1" customHeight="1" thickBot="1" x14ac:dyDescent="0.3">
      <c r="A18" s="132" t="s">
        <v>31</v>
      </c>
      <c r="B18" s="133"/>
      <c r="C18" s="133"/>
      <c r="D18" s="134"/>
      <c r="E18" s="32" t="str">
        <f>_xlfn.CONCAT("+",IF(Modifiers!K6="Edge",_xlfn.CONCAT(A32,"E"),A32))</f>
        <v>+0</v>
      </c>
      <c r="F18" s="30"/>
      <c r="G18" s="55"/>
      <c r="H18" s="56"/>
      <c r="J18" s="55"/>
      <c r="K18" s="56"/>
      <c r="M18" s="55"/>
      <c r="N18" s="56"/>
    </row>
    <row r="19" spans="1:15" ht="14.1" customHeight="1" x14ac:dyDescent="0.25">
      <c r="A19" s="93" t="s">
        <v>32</v>
      </c>
      <c r="B19" s="94"/>
      <c r="C19" s="94"/>
      <c r="D19" s="94"/>
      <c r="E19" s="141"/>
      <c r="F19" s="30"/>
      <c r="G19" s="55"/>
      <c r="H19" s="56"/>
      <c r="J19" s="55"/>
      <c r="K19" s="56"/>
      <c r="M19" s="55"/>
      <c r="N19" s="56"/>
    </row>
    <row r="20" spans="1:15" ht="14.1" customHeight="1" x14ac:dyDescent="0.25">
      <c r="A20" s="93" t="s">
        <v>54</v>
      </c>
      <c r="B20" s="94"/>
      <c r="C20" s="94"/>
      <c r="D20" s="94"/>
      <c r="E20" s="95"/>
      <c r="F20" s="30"/>
      <c r="G20" s="55"/>
      <c r="H20" s="56"/>
      <c r="J20" s="55"/>
      <c r="K20" s="56"/>
      <c r="M20" s="55"/>
      <c r="N20" s="56"/>
    </row>
    <row r="21" spans="1:15" ht="14.1" customHeight="1" thickBot="1" x14ac:dyDescent="0.3">
      <c r="A21" s="91"/>
      <c r="B21" s="92"/>
      <c r="C21" s="77"/>
      <c r="D21" s="77"/>
      <c r="E21" s="78"/>
      <c r="F21" s="30"/>
      <c r="G21" s="57"/>
      <c r="H21" s="58"/>
      <c r="J21" s="57"/>
      <c r="K21" s="58"/>
      <c r="M21" s="57"/>
      <c r="N21" s="58"/>
    </row>
    <row r="22" spans="1:15" ht="14.1" customHeight="1" thickBot="1" x14ac:dyDescent="0.3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</row>
    <row r="23" spans="1:15" ht="14.1" customHeight="1" thickBot="1" x14ac:dyDescent="0.3">
      <c r="A23" s="96" t="s">
        <v>35</v>
      </c>
      <c r="B23" s="97"/>
      <c r="C23" s="97"/>
      <c r="D23" s="97"/>
      <c r="E23" s="98"/>
      <c r="F23" s="30"/>
      <c r="G23" s="46" t="s">
        <v>22</v>
      </c>
      <c r="H23" s="30"/>
      <c r="I23" s="30"/>
      <c r="J23" s="30"/>
      <c r="K23" s="30"/>
      <c r="L23" s="30"/>
      <c r="M23" s="30"/>
      <c r="N23" s="30"/>
      <c r="O23" s="30"/>
    </row>
    <row r="24" spans="1:15" ht="14.1" customHeight="1" x14ac:dyDescent="0.25">
      <c r="A24" s="121" t="s">
        <v>36</v>
      </c>
      <c r="B24" s="122"/>
      <c r="C24" s="122"/>
      <c r="D24" s="122" t="s">
        <v>37</v>
      </c>
      <c r="E24" s="125"/>
      <c r="F24" s="30"/>
      <c r="G24" s="146" t="s">
        <v>55</v>
      </c>
      <c r="H24" s="147"/>
      <c r="I24" s="147"/>
      <c r="J24" s="53" t="s">
        <v>65</v>
      </c>
      <c r="K24" s="53"/>
      <c r="L24" s="53"/>
      <c r="M24" s="53"/>
      <c r="N24" s="54"/>
    </row>
    <row r="25" spans="1:15" ht="14.1" customHeight="1" thickBot="1" x14ac:dyDescent="0.3">
      <c r="A25" s="123"/>
      <c r="B25" s="124"/>
      <c r="C25" s="124"/>
      <c r="D25" s="124"/>
      <c r="E25" s="126"/>
      <c r="F25" s="30"/>
      <c r="G25" s="81"/>
      <c r="H25" s="82"/>
      <c r="I25" s="82"/>
      <c r="J25" s="49"/>
      <c r="K25" s="49"/>
      <c r="L25" s="49"/>
      <c r="M25" s="49"/>
      <c r="N25" s="50"/>
    </row>
    <row r="26" spans="1:15" ht="14.1" customHeight="1" x14ac:dyDescent="0.25">
      <c r="A26" s="62">
        <v>4</v>
      </c>
      <c r="B26" s="63"/>
      <c r="C26" s="64"/>
      <c r="D26" s="87">
        <f xml:space="preserve"> 10 + A26 + Modifiers!B3</f>
        <v>14</v>
      </c>
      <c r="E26" s="88"/>
      <c r="F26" s="30"/>
      <c r="G26" s="81"/>
      <c r="H26" s="82"/>
      <c r="I26" s="82"/>
      <c r="J26" s="49"/>
      <c r="K26" s="49"/>
      <c r="L26" s="49"/>
      <c r="M26" s="49"/>
      <c r="N26" s="50"/>
    </row>
    <row r="27" spans="1:15" ht="14.1" customHeight="1" thickBot="1" x14ac:dyDescent="0.3">
      <c r="A27" s="84" t="s">
        <v>1</v>
      </c>
      <c r="B27" s="85"/>
      <c r="C27" s="86"/>
      <c r="D27" s="89"/>
      <c r="E27" s="90"/>
      <c r="F27" s="30"/>
      <c r="G27" s="81" t="s">
        <v>68</v>
      </c>
      <c r="H27" s="82"/>
      <c r="I27" s="82"/>
      <c r="J27" s="49" t="s">
        <v>66</v>
      </c>
      <c r="K27" s="49"/>
      <c r="L27" s="49"/>
      <c r="M27" s="49"/>
      <c r="N27" s="50"/>
    </row>
    <row r="28" spans="1:15" ht="14.1" customHeight="1" x14ac:dyDescent="0.25">
      <c r="A28" s="62">
        <v>3</v>
      </c>
      <c r="B28" s="63"/>
      <c r="C28" s="64"/>
      <c r="D28" s="87">
        <f>IF(Modifiers!C4,Modifiers!C4,10 + A28 + Modifiers!B4)</f>
        <v>14</v>
      </c>
      <c r="E28" s="88"/>
      <c r="F28" s="30"/>
      <c r="G28" s="81"/>
      <c r="H28" s="82"/>
      <c r="I28" s="82"/>
      <c r="J28" s="49"/>
      <c r="K28" s="49"/>
      <c r="L28" s="49"/>
      <c r="M28" s="49"/>
      <c r="N28" s="50"/>
    </row>
    <row r="29" spans="1:15" ht="14.1" customHeight="1" thickBot="1" x14ac:dyDescent="0.3">
      <c r="A29" s="84" t="s">
        <v>40</v>
      </c>
      <c r="B29" s="85"/>
      <c r="C29" s="86"/>
      <c r="D29" s="89"/>
      <c r="E29" s="90"/>
      <c r="F29" s="30"/>
      <c r="G29" s="81"/>
      <c r="H29" s="82"/>
      <c r="I29" s="82"/>
      <c r="J29" s="49"/>
      <c r="K29" s="49"/>
      <c r="L29" s="49"/>
      <c r="M29" s="49"/>
      <c r="N29" s="50"/>
    </row>
    <row r="30" spans="1:15" ht="14.1" customHeight="1" x14ac:dyDescent="0.25">
      <c r="A30" s="62">
        <v>1</v>
      </c>
      <c r="B30" s="63"/>
      <c r="C30" s="64"/>
      <c r="D30" s="87">
        <f xml:space="preserve"> 10 + A30 + Modifiers!B5</f>
        <v>11</v>
      </c>
      <c r="E30" s="88"/>
      <c r="F30" s="30"/>
      <c r="G30" s="81"/>
      <c r="H30" s="82"/>
      <c r="I30" s="82"/>
      <c r="J30" s="49"/>
      <c r="K30" s="49"/>
      <c r="L30" s="49"/>
      <c r="M30" s="49"/>
      <c r="N30" s="50"/>
    </row>
    <row r="31" spans="1:15" ht="14.1" customHeight="1" thickBot="1" x14ac:dyDescent="0.3">
      <c r="A31" s="84" t="s">
        <v>42</v>
      </c>
      <c r="B31" s="85"/>
      <c r="C31" s="86"/>
      <c r="D31" s="89"/>
      <c r="E31" s="90"/>
      <c r="F31" s="30"/>
      <c r="G31" s="81" t="s">
        <v>67</v>
      </c>
      <c r="H31" s="82"/>
      <c r="I31" s="82"/>
      <c r="J31" s="49" t="s">
        <v>74</v>
      </c>
      <c r="K31" s="49"/>
      <c r="L31" s="49"/>
      <c r="M31" s="49"/>
      <c r="N31" s="50"/>
    </row>
    <row r="32" spans="1:15" ht="14.1" customHeight="1" x14ac:dyDescent="0.25">
      <c r="A32" s="62">
        <v>0</v>
      </c>
      <c r="B32" s="63"/>
      <c r="C32" s="64"/>
      <c r="D32" s="87">
        <f xml:space="preserve"> 10 + A32 + Modifiers!B6</f>
        <v>10</v>
      </c>
      <c r="E32" s="88"/>
      <c r="F32" s="30"/>
      <c r="G32" s="81"/>
      <c r="H32" s="82"/>
      <c r="I32" s="82"/>
      <c r="J32" s="49"/>
      <c r="K32" s="49"/>
      <c r="L32" s="49"/>
      <c r="M32" s="49"/>
      <c r="N32" s="50"/>
    </row>
    <row r="33" spans="1:15" ht="14.1" customHeight="1" thickBot="1" x14ac:dyDescent="0.3">
      <c r="A33" s="84" t="s">
        <v>41</v>
      </c>
      <c r="B33" s="85"/>
      <c r="C33" s="86"/>
      <c r="D33" s="89"/>
      <c r="E33" s="90"/>
      <c r="F33" s="30"/>
      <c r="G33" s="81"/>
      <c r="H33" s="82"/>
      <c r="I33" s="82"/>
      <c r="J33" s="49"/>
      <c r="K33" s="49"/>
      <c r="L33" s="49"/>
      <c r="M33" s="49"/>
      <c r="N33" s="50"/>
    </row>
    <row r="34" spans="1:15" ht="14.1" customHeight="1" x14ac:dyDescent="0.25">
      <c r="A34" s="62">
        <v>1</v>
      </c>
      <c r="B34" s="63"/>
      <c r="C34" s="64"/>
      <c r="D34" s="87">
        <f xml:space="preserve"> 10 + A34 + Modifiers!B7</f>
        <v>11</v>
      </c>
      <c r="E34" s="88"/>
      <c r="F34" s="30"/>
      <c r="G34" s="81"/>
      <c r="H34" s="82"/>
      <c r="I34" s="82"/>
      <c r="J34" s="49"/>
      <c r="K34" s="49"/>
      <c r="L34" s="49"/>
      <c r="M34" s="49"/>
      <c r="N34" s="50"/>
    </row>
    <row r="35" spans="1:15" ht="14.1" customHeight="1" thickBot="1" x14ac:dyDescent="0.3">
      <c r="A35" s="84" t="s">
        <v>5</v>
      </c>
      <c r="B35" s="85"/>
      <c r="C35" s="86"/>
      <c r="D35" s="89"/>
      <c r="E35" s="90"/>
      <c r="F35" s="30"/>
      <c r="G35" s="81"/>
      <c r="H35" s="82"/>
      <c r="I35" s="82"/>
      <c r="J35" s="49"/>
      <c r="K35" s="49"/>
      <c r="L35" s="49"/>
      <c r="M35" s="49"/>
      <c r="N35" s="50"/>
    </row>
    <row r="36" spans="1:15" ht="14.1" customHeight="1" x14ac:dyDescent="0.25">
      <c r="A36" s="62">
        <v>0</v>
      </c>
      <c r="B36" s="63"/>
      <c r="C36" s="64"/>
      <c r="D36" s="87">
        <f xml:space="preserve"> 10 + A36 + Modifiers!B8</f>
        <v>10</v>
      </c>
      <c r="E36" s="88"/>
      <c r="F36" s="30"/>
      <c r="G36" s="81"/>
      <c r="H36" s="82"/>
      <c r="I36" s="82"/>
      <c r="J36" s="49"/>
      <c r="K36" s="49"/>
      <c r="L36" s="49"/>
      <c r="M36" s="49"/>
      <c r="N36" s="50"/>
    </row>
    <row r="37" spans="1:15" ht="14.1" customHeight="1" thickBot="1" x14ac:dyDescent="0.3">
      <c r="A37" s="84" t="s">
        <v>47</v>
      </c>
      <c r="B37" s="85"/>
      <c r="C37" s="86"/>
      <c r="D37" s="89"/>
      <c r="E37" s="90"/>
      <c r="F37" s="30"/>
      <c r="G37" s="81"/>
      <c r="H37" s="82"/>
      <c r="I37" s="82"/>
      <c r="J37" s="49"/>
      <c r="K37" s="49"/>
      <c r="L37" s="49"/>
      <c r="M37" s="49"/>
      <c r="N37" s="50"/>
    </row>
    <row r="38" spans="1:15" ht="14.1" customHeight="1" thickBot="1" x14ac:dyDescent="0.3">
      <c r="A38" s="30"/>
      <c r="B38" s="30"/>
      <c r="C38" s="45"/>
      <c r="D38" s="30"/>
      <c r="E38" s="30"/>
      <c r="F38" s="30"/>
      <c r="G38" s="81"/>
      <c r="H38" s="82"/>
      <c r="I38" s="82"/>
      <c r="J38" s="49"/>
      <c r="K38" s="49"/>
      <c r="L38" s="49"/>
      <c r="M38" s="49"/>
      <c r="N38" s="50"/>
    </row>
    <row r="39" spans="1:15" ht="14.1" customHeight="1" thickBot="1" x14ac:dyDescent="0.3">
      <c r="A39" s="99" t="s">
        <v>33</v>
      </c>
      <c r="B39" s="100"/>
      <c r="C39" s="100"/>
      <c r="D39" s="100"/>
      <c r="E39" s="101"/>
      <c r="F39" s="30"/>
      <c r="G39" s="81"/>
      <c r="H39" s="82"/>
      <c r="I39" s="82"/>
      <c r="J39" s="49"/>
      <c r="K39" s="49"/>
      <c r="L39" s="49"/>
      <c r="M39" s="49"/>
      <c r="N39" s="50"/>
    </row>
    <row r="40" spans="1:15" ht="14.1" customHeight="1" x14ac:dyDescent="0.25">
      <c r="A40" s="83" t="s">
        <v>1</v>
      </c>
      <c r="B40" s="139" t="e" vm="2">
        <v>#VALUE!</v>
      </c>
      <c r="C40" s="104" t="str">
        <f>_xlfn.CONCAT("X ",IF(Modifiers!G3,Modifiers!G3,$E$6 + Modifiers!F3))</f>
        <v>X 1</v>
      </c>
      <c r="D40" s="107" t="s">
        <v>7</v>
      </c>
      <c r="E40" s="105">
        <f>A26</f>
        <v>4</v>
      </c>
      <c r="F40" s="30"/>
      <c r="G40" s="81"/>
      <c r="H40" s="82"/>
      <c r="I40" s="82"/>
      <c r="J40" s="49"/>
      <c r="K40" s="49"/>
      <c r="L40" s="49"/>
      <c r="M40" s="49"/>
      <c r="N40" s="50"/>
    </row>
    <row r="41" spans="1:15" ht="11.25" customHeight="1" x14ac:dyDescent="0.25">
      <c r="A41" s="83"/>
      <c r="B41" s="139"/>
      <c r="C41" s="104"/>
      <c r="D41" s="106"/>
      <c r="E41" s="105"/>
      <c r="F41" s="30"/>
      <c r="G41" s="81"/>
      <c r="H41" s="82"/>
      <c r="I41" s="82"/>
      <c r="J41" s="49"/>
      <c r="K41" s="49"/>
      <c r="L41" s="49"/>
      <c r="M41" s="49"/>
      <c r="N41" s="50"/>
    </row>
    <row r="42" spans="1:15" ht="16.5" customHeight="1" x14ac:dyDescent="0.25">
      <c r="A42" s="83" t="s">
        <v>40</v>
      </c>
      <c r="B42" s="139" t="e" vm="2">
        <v>#VALUE!</v>
      </c>
      <c r="C42" s="104" t="str">
        <f>_xlfn.CONCAT("X ",IF(Modifiers!G5,Modifiers!G5,$E$6 + Modifiers!F5))</f>
        <v>X 1</v>
      </c>
      <c r="D42" s="106" t="s">
        <v>7</v>
      </c>
      <c r="E42" s="105">
        <f>A28</f>
        <v>3</v>
      </c>
      <c r="F42" s="30"/>
      <c r="G42" s="81"/>
      <c r="H42" s="82"/>
      <c r="I42" s="82"/>
      <c r="J42" s="49"/>
      <c r="K42" s="49"/>
      <c r="L42" s="49"/>
      <c r="M42" s="49"/>
      <c r="N42" s="50"/>
    </row>
    <row r="43" spans="1:15" ht="14.1" customHeight="1" x14ac:dyDescent="0.25">
      <c r="A43" s="83"/>
      <c r="B43" s="139"/>
      <c r="C43" s="104"/>
      <c r="D43" s="106"/>
      <c r="E43" s="105"/>
      <c r="F43" s="30"/>
      <c r="G43" s="81"/>
      <c r="H43" s="82"/>
      <c r="I43" s="82"/>
      <c r="J43" s="49"/>
      <c r="K43" s="49"/>
      <c r="L43" s="49"/>
      <c r="M43" s="49"/>
      <c r="N43" s="50"/>
    </row>
    <row r="44" spans="1:15" ht="14.1" customHeight="1" thickBot="1" x14ac:dyDescent="0.3">
      <c r="A44" s="83" t="s">
        <v>5</v>
      </c>
      <c r="B44" s="139" t="e" vm="2">
        <v>#VALUE!</v>
      </c>
      <c r="C44" s="104" t="str">
        <f>_xlfn.CONCAT("X ",IF(Modifiers!G7,Modifiers!G7,$E$6 + Modifiers!F7))</f>
        <v>X 1</v>
      </c>
      <c r="D44" s="106" t="s">
        <v>7</v>
      </c>
      <c r="E44" s="105">
        <f>A34</f>
        <v>1</v>
      </c>
      <c r="F44" s="30"/>
      <c r="G44" s="102"/>
      <c r="H44" s="103"/>
      <c r="I44" s="103"/>
      <c r="J44" s="51"/>
      <c r="K44" s="51"/>
      <c r="L44" s="51"/>
      <c r="M44" s="51"/>
      <c r="N44" s="52"/>
    </row>
    <row r="45" spans="1:15" ht="14.1" customHeight="1" thickBot="1" x14ac:dyDescent="0.3">
      <c r="A45" s="83"/>
      <c r="B45" s="139"/>
      <c r="C45" s="104"/>
      <c r="D45" s="106"/>
      <c r="E45" s="105"/>
      <c r="F45" s="30"/>
      <c r="G45" s="30"/>
      <c r="H45" s="30"/>
      <c r="I45" s="30"/>
      <c r="J45" s="30"/>
      <c r="K45" s="30"/>
      <c r="L45" s="30"/>
      <c r="M45" s="30"/>
      <c r="N45" s="30"/>
      <c r="O45" s="30"/>
    </row>
    <row r="46" spans="1:15" ht="14.1" customHeight="1" thickBot="1" x14ac:dyDescent="0.3">
      <c r="A46" s="83" t="s">
        <v>47</v>
      </c>
      <c r="B46" s="139" t="e" vm="2">
        <v>#VALUE!</v>
      </c>
      <c r="C46" s="104" t="str">
        <f>_xlfn.CONCAT("X ",IF(Modifiers!G9,Modifiers!G9,$E$6 + Modifiers!F9))</f>
        <v>X 1</v>
      </c>
      <c r="D46" s="106" t="s">
        <v>7</v>
      </c>
      <c r="E46" s="105">
        <f>A36</f>
        <v>0</v>
      </c>
      <c r="F46" s="30"/>
      <c r="G46" s="42" t="s">
        <v>21</v>
      </c>
      <c r="H46" s="30"/>
      <c r="I46" s="30"/>
      <c r="J46" s="30"/>
      <c r="K46" s="30"/>
      <c r="L46" s="30"/>
      <c r="M46" s="30"/>
      <c r="N46" s="30"/>
      <c r="O46" s="30"/>
    </row>
    <row r="47" spans="1:15" ht="14.1" customHeight="1" thickBot="1" x14ac:dyDescent="0.3">
      <c r="A47" s="142"/>
      <c r="B47" s="140"/>
      <c r="C47" s="143"/>
      <c r="D47" s="144"/>
      <c r="E47" s="145"/>
      <c r="F47" s="30"/>
      <c r="G47" s="187" t="s">
        <v>69</v>
      </c>
      <c r="H47" s="195"/>
      <c r="I47" s="195"/>
      <c r="J47" s="195"/>
      <c r="K47" s="195"/>
      <c r="L47" s="195"/>
      <c r="M47" s="195"/>
      <c r="N47" s="188"/>
    </row>
    <row r="48" spans="1:15" ht="14.1" customHeight="1" thickBot="1" x14ac:dyDescent="0.3">
      <c r="A48" s="30"/>
      <c r="B48" s="30"/>
      <c r="C48" s="30"/>
      <c r="D48" s="30"/>
      <c r="E48" s="30"/>
      <c r="F48" s="30"/>
      <c r="G48" s="189"/>
      <c r="H48" s="196"/>
      <c r="I48" s="196"/>
      <c r="J48" s="196"/>
      <c r="K48" s="196"/>
      <c r="L48" s="196"/>
      <c r="M48" s="196"/>
      <c r="N48" s="190"/>
    </row>
    <row r="49" spans="1:14" ht="14.1" customHeight="1" x14ac:dyDescent="0.25">
      <c r="A49" s="117" t="s">
        <v>34</v>
      </c>
      <c r="B49" s="118"/>
      <c r="C49" s="118"/>
      <c r="D49" s="118"/>
      <c r="E49" s="119"/>
      <c r="F49" s="30"/>
      <c r="G49" s="65"/>
      <c r="H49" s="191"/>
      <c r="I49" s="191"/>
      <c r="J49" s="191"/>
      <c r="K49" s="191"/>
      <c r="L49" s="191"/>
      <c r="M49" s="191"/>
      <c r="N49" s="67"/>
    </row>
    <row r="50" spans="1:14" ht="14.1" customHeight="1" x14ac:dyDescent="0.25">
      <c r="A50" s="39" t="s">
        <v>51</v>
      </c>
      <c r="B50" s="66" t="s">
        <v>39</v>
      </c>
      <c r="C50" s="66"/>
      <c r="D50" s="36" t="s">
        <v>51</v>
      </c>
      <c r="E50" s="37" t="s">
        <v>38</v>
      </c>
      <c r="F50" s="30"/>
      <c r="G50" s="65"/>
      <c r="H50" s="191"/>
      <c r="I50" s="191"/>
      <c r="J50" s="191"/>
      <c r="K50" s="191"/>
      <c r="L50" s="191"/>
      <c r="M50" s="191"/>
      <c r="N50" s="67"/>
    </row>
    <row r="51" spans="1:14" ht="14.1" customHeight="1" x14ac:dyDescent="0.25">
      <c r="A51" s="39" t="s">
        <v>51</v>
      </c>
      <c r="B51" s="66" t="s">
        <v>39</v>
      </c>
      <c r="C51" s="66"/>
      <c r="D51" s="36" t="s">
        <v>12</v>
      </c>
      <c r="E51" s="37" t="s">
        <v>38</v>
      </c>
      <c r="F51" s="30"/>
      <c r="G51" s="65"/>
      <c r="H51" s="191"/>
      <c r="I51" s="191"/>
      <c r="J51" s="191"/>
      <c r="K51" s="191"/>
      <c r="L51" s="191"/>
      <c r="M51" s="191"/>
      <c r="N51" s="67"/>
    </row>
    <row r="52" spans="1:14" ht="14.1" customHeight="1" x14ac:dyDescent="0.25">
      <c r="A52" s="39" t="s">
        <v>51</v>
      </c>
      <c r="B52" s="66" t="s">
        <v>39</v>
      </c>
      <c r="C52" s="66"/>
      <c r="D52" s="36" t="s">
        <v>12</v>
      </c>
      <c r="E52" s="37" t="s">
        <v>38</v>
      </c>
      <c r="F52" s="30"/>
      <c r="G52" s="65"/>
      <c r="H52" s="191"/>
      <c r="I52" s="191"/>
      <c r="J52" s="191"/>
      <c r="K52" s="191"/>
      <c r="L52" s="191"/>
      <c r="M52" s="191"/>
      <c r="N52" s="67"/>
    </row>
    <row r="53" spans="1:14" ht="14.1" customHeight="1" x14ac:dyDescent="0.25">
      <c r="A53" s="39" t="s">
        <v>51</v>
      </c>
      <c r="B53" s="66" t="s">
        <v>39</v>
      </c>
      <c r="C53" s="66"/>
      <c r="D53" s="36" t="s">
        <v>12</v>
      </c>
      <c r="E53" s="37" t="s">
        <v>38</v>
      </c>
      <c r="F53" s="30"/>
      <c r="G53" s="65"/>
      <c r="H53" s="191"/>
      <c r="I53" s="191"/>
      <c r="J53" s="191"/>
      <c r="K53" s="191"/>
      <c r="L53" s="191"/>
      <c r="M53" s="191"/>
      <c r="N53" s="67"/>
    </row>
    <row r="54" spans="1:14" ht="14.1" customHeight="1" thickBot="1" x14ac:dyDescent="0.3">
      <c r="A54" s="40" t="s">
        <v>12</v>
      </c>
      <c r="B54" s="69" t="s">
        <v>39</v>
      </c>
      <c r="C54" s="69"/>
      <c r="D54" s="41" t="s">
        <v>12</v>
      </c>
      <c r="E54" s="38" t="s">
        <v>13</v>
      </c>
      <c r="F54" s="30"/>
      <c r="G54" s="192"/>
      <c r="H54" s="193"/>
      <c r="I54" s="193"/>
      <c r="J54" s="193"/>
      <c r="K54" s="193"/>
      <c r="L54" s="193"/>
      <c r="M54" s="193"/>
      <c r="N54" s="194"/>
    </row>
    <row r="55" spans="1:14" ht="15" customHeight="1" x14ac:dyDescent="0.25"/>
  </sheetData>
  <mergeCells count="162">
    <mergeCell ref="G49:N49"/>
    <mergeCell ref="G50:N50"/>
    <mergeCell ref="G51:N51"/>
    <mergeCell ref="G52:N52"/>
    <mergeCell ref="G53:N53"/>
    <mergeCell ref="G54:N54"/>
    <mergeCell ref="G47:N48"/>
    <mergeCell ref="G24:I24"/>
    <mergeCell ref="G25:I25"/>
    <mergeCell ref="G14:H14"/>
    <mergeCell ref="G15:H15"/>
    <mergeCell ref="G16:H16"/>
    <mergeCell ref="G17:H17"/>
    <mergeCell ref="G18:H18"/>
    <mergeCell ref="G19:H19"/>
    <mergeCell ref="G20:H20"/>
    <mergeCell ref="G21:H21"/>
    <mergeCell ref="D36:E37"/>
    <mergeCell ref="A18:D18"/>
    <mergeCell ref="B51:C51"/>
    <mergeCell ref="B52:C52"/>
    <mergeCell ref="B53:C53"/>
    <mergeCell ref="B54:C54"/>
    <mergeCell ref="C10:D10"/>
    <mergeCell ref="C14:D14"/>
    <mergeCell ref="A10:B10"/>
    <mergeCell ref="A14:B14"/>
    <mergeCell ref="B40:B41"/>
    <mergeCell ref="B42:B43"/>
    <mergeCell ref="B44:B45"/>
    <mergeCell ref="B46:B47"/>
    <mergeCell ref="B50:C50"/>
    <mergeCell ref="A19:E19"/>
    <mergeCell ref="A29:C29"/>
    <mergeCell ref="A46:A47"/>
    <mergeCell ref="C46:C47"/>
    <mergeCell ref="D46:D47"/>
    <mergeCell ref="E46:E47"/>
    <mergeCell ref="E44:E45"/>
    <mergeCell ref="D44:D45"/>
    <mergeCell ref="C44:C45"/>
    <mergeCell ref="G26:I26"/>
    <mergeCell ref="G27:I27"/>
    <mergeCell ref="A5:D5"/>
    <mergeCell ref="A8:D9"/>
    <mergeCell ref="A49:E49"/>
    <mergeCell ref="A1:E4"/>
    <mergeCell ref="A36:C36"/>
    <mergeCell ref="A37:C37"/>
    <mergeCell ref="A35:C35"/>
    <mergeCell ref="A34:C34"/>
    <mergeCell ref="A33:C33"/>
    <mergeCell ref="A32:C32"/>
    <mergeCell ref="A31:C31"/>
    <mergeCell ref="A30:C30"/>
    <mergeCell ref="A24:C25"/>
    <mergeCell ref="D24:E25"/>
    <mergeCell ref="E16:E17"/>
    <mergeCell ref="D16:D17"/>
    <mergeCell ref="A16:C17"/>
    <mergeCell ref="E12:E13"/>
    <mergeCell ref="A12:D13"/>
    <mergeCell ref="D30:E31"/>
    <mergeCell ref="D32:E33"/>
    <mergeCell ref="D34:E35"/>
    <mergeCell ref="G39:I39"/>
    <mergeCell ref="A39:E39"/>
    <mergeCell ref="A44:A45"/>
    <mergeCell ref="G40:I40"/>
    <mergeCell ref="G41:I41"/>
    <mergeCell ref="G42:I42"/>
    <mergeCell ref="G43:I43"/>
    <mergeCell ref="G44:I44"/>
    <mergeCell ref="C42:C43"/>
    <mergeCell ref="E42:E43"/>
    <mergeCell ref="D42:D43"/>
    <mergeCell ref="C40:C41"/>
    <mergeCell ref="D40:D41"/>
    <mergeCell ref="E40:E41"/>
    <mergeCell ref="A6:D6"/>
    <mergeCell ref="E8:E9"/>
    <mergeCell ref="G34:I34"/>
    <mergeCell ref="G35:I35"/>
    <mergeCell ref="G36:I36"/>
    <mergeCell ref="G37:I37"/>
    <mergeCell ref="G38:I38"/>
    <mergeCell ref="A40:A41"/>
    <mergeCell ref="A42:A43"/>
    <mergeCell ref="G28:I28"/>
    <mergeCell ref="G29:I29"/>
    <mergeCell ref="G30:I30"/>
    <mergeCell ref="G31:I31"/>
    <mergeCell ref="G32:I32"/>
    <mergeCell ref="G33:I33"/>
    <mergeCell ref="A27:C27"/>
    <mergeCell ref="A28:C28"/>
    <mergeCell ref="D26:E27"/>
    <mergeCell ref="D28:E29"/>
    <mergeCell ref="A21:E21"/>
    <mergeCell ref="A20:E20"/>
    <mergeCell ref="A26:C26"/>
    <mergeCell ref="A23:E23"/>
    <mergeCell ref="G13:H13"/>
    <mergeCell ref="K2:N2"/>
    <mergeCell ref="K3:N3"/>
    <mergeCell ref="K4:N4"/>
    <mergeCell ref="K5:N5"/>
    <mergeCell ref="K6:N6"/>
    <mergeCell ref="K7:N7"/>
    <mergeCell ref="G10:H10"/>
    <mergeCell ref="G11:H11"/>
    <mergeCell ref="G12:H12"/>
    <mergeCell ref="H2:J2"/>
    <mergeCell ref="H4:J4"/>
    <mergeCell ref="H3:J3"/>
    <mergeCell ref="H5:J5"/>
    <mergeCell ref="H6:J6"/>
    <mergeCell ref="H7:J7"/>
    <mergeCell ref="J10:K10"/>
    <mergeCell ref="J11:K11"/>
    <mergeCell ref="J12:K12"/>
    <mergeCell ref="M12:N12"/>
    <mergeCell ref="M10:N11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J24:N24"/>
    <mergeCell ref="J25:N25"/>
    <mergeCell ref="J26:N26"/>
    <mergeCell ref="J27:N27"/>
    <mergeCell ref="J28:N28"/>
    <mergeCell ref="J29:N29"/>
    <mergeCell ref="J30:N30"/>
    <mergeCell ref="J31:N31"/>
    <mergeCell ref="J32:N32"/>
    <mergeCell ref="J42:N42"/>
    <mergeCell ref="J43:N43"/>
    <mergeCell ref="J44:N44"/>
    <mergeCell ref="J33:N33"/>
    <mergeCell ref="J34:N34"/>
    <mergeCell ref="J35:N35"/>
    <mergeCell ref="J36:N36"/>
    <mergeCell ref="J37:N37"/>
    <mergeCell ref="J38:N38"/>
    <mergeCell ref="J39:N39"/>
    <mergeCell ref="J40:N40"/>
    <mergeCell ref="J41:N41"/>
  </mergeCells>
  <phoneticPr fontId="4" type="noConversion"/>
  <dataValidations count="1">
    <dataValidation type="list" allowBlank="1" showInputMessage="1" showErrorMessage="1" sqref="D50:D54 A50:A54" xr:uid="{A4A943BD-F69E-42F0-BEA9-7C4404415DBA}">
      <formula1>"☐,☑"</formula1>
    </dataValidation>
  </dataValidation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5F8B8-F644-45DE-A35A-1D709A5732D7}">
  <dimension ref="A1:I46"/>
  <sheetViews>
    <sheetView topLeftCell="A6" workbookViewId="0">
      <selection activeCell="A25" sqref="A25:I25"/>
    </sheetView>
  </sheetViews>
  <sheetFormatPr baseColWidth="10" defaultRowHeight="15" x14ac:dyDescent="0.25"/>
  <cols>
    <col min="1" max="8" width="9.7109375" customWidth="1"/>
    <col min="9" max="9" width="12.28515625" customWidth="1"/>
  </cols>
  <sheetData>
    <row r="1" spans="1:9" ht="15.75" thickBot="1" x14ac:dyDescent="0.3">
      <c r="A1" s="174" t="s">
        <v>56</v>
      </c>
      <c r="B1" s="175"/>
      <c r="C1" s="175"/>
      <c r="D1" s="176"/>
    </row>
    <row r="2" spans="1:9" ht="15" customHeight="1" x14ac:dyDescent="0.25">
      <c r="A2" s="148" t="s">
        <v>70</v>
      </c>
      <c r="B2" s="149"/>
      <c r="C2" s="149"/>
      <c r="D2" s="149"/>
      <c r="E2" s="149"/>
      <c r="F2" s="149"/>
      <c r="G2" s="149"/>
      <c r="H2" s="149"/>
      <c r="I2" s="150"/>
    </row>
    <row r="3" spans="1:9" ht="15" customHeight="1" x14ac:dyDescent="0.25">
      <c r="A3" s="151"/>
      <c r="B3" s="198"/>
      <c r="C3" s="198"/>
      <c r="D3" s="198"/>
      <c r="E3" s="198"/>
      <c r="F3" s="198"/>
      <c r="G3" s="198"/>
      <c r="H3" s="198"/>
      <c r="I3" s="152"/>
    </row>
    <row r="4" spans="1:9" x14ac:dyDescent="0.25">
      <c r="A4" s="153"/>
      <c r="B4" s="197"/>
      <c r="C4" s="197"/>
      <c r="D4" s="197"/>
      <c r="E4" s="197"/>
      <c r="F4" s="197"/>
      <c r="G4" s="197"/>
      <c r="H4" s="197"/>
      <c r="I4" s="154"/>
    </row>
    <row r="5" spans="1:9" ht="15" customHeight="1" x14ac:dyDescent="0.25">
      <c r="A5" s="153"/>
      <c r="B5" s="197"/>
      <c r="C5" s="197"/>
      <c r="D5" s="197"/>
      <c r="E5" s="197"/>
      <c r="F5" s="197"/>
      <c r="G5" s="197"/>
      <c r="H5" s="197"/>
      <c r="I5" s="154"/>
    </row>
    <row r="6" spans="1:9" x14ac:dyDescent="0.25">
      <c r="A6" s="153"/>
      <c r="B6" s="197"/>
      <c r="C6" s="197"/>
      <c r="D6" s="197"/>
      <c r="E6" s="197"/>
      <c r="F6" s="197"/>
      <c r="G6" s="197"/>
      <c r="H6" s="197"/>
      <c r="I6" s="154"/>
    </row>
    <row r="7" spans="1:9" ht="15" customHeight="1" thickBot="1" x14ac:dyDescent="0.3">
      <c r="A7" s="171"/>
      <c r="B7" s="172"/>
      <c r="C7" s="172"/>
      <c r="D7" s="172"/>
      <c r="E7" s="172"/>
      <c r="F7" s="172"/>
      <c r="G7" s="172"/>
      <c r="H7" s="172"/>
      <c r="I7" s="173"/>
    </row>
    <row r="8" spans="1:9" ht="15" customHeight="1" x14ac:dyDescent="0.25">
      <c r="A8" s="177" t="s">
        <v>71</v>
      </c>
      <c r="B8" s="178"/>
      <c r="C8" s="178"/>
      <c r="D8" s="178"/>
      <c r="E8" s="178"/>
      <c r="F8" s="178"/>
      <c r="G8" s="178"/>
      <c r="H8" s="178"/>
      <c r="I8" s="179"/>
    </row>
    <row r="9" spans="1:9" x14ac:dyDescent="0.25">
      <c r="A9" s="165" t="s">
        <v>72</v>
      </c>
      <c r="B9" s="166"/>
      <c r="C9" s="166"/>
      <c r="D9" s="166"/>
      <c r="E9" s="166"/>
      <c r="F9" s="166"/>
      <c r="G9" s="166"/>
      <c r="H9" s="166"/>
      <c r="I9" s="167"/>
    </row>
    <row r="10" spans="1:9" ht="15" customHeight="1" x14ac:dyDescent="0.25">
      <c r="A10" s="47" t="s">
        <v>73</v>
      </c>
      <c r="B10" s="200"/>
      <c r="C10" s="200"/>
      <c r="D10" s="200"/>
      <c r="E10" s="200"/>
      <c r="F10" s="200"/>
      <c r="G10" s="200"/>
      <c r="H10" s="200"/>
      <c r="I10" s="48"/>
    </row>
    <row r="11" spans="1:9" x14ac:dyDescent="0.25">
      <c r="A11" s="163" t="s">
        <v>76</v>
      </c>
      <c r="B11" s="199"/>
      <c r="C11" s="199"/>
      <c r="D11" s="199"/>
      <c r="E11" s="199"/>
      <c r="F11" s="199"/>
      <c r="G11" s="199"/>
      <c r="H11" s="199"/>
      <c r="I11" s="164"/>
    </row>
    <row r="12" spans="1:9" ht="15" customHeight="1" x14ac:dyDescent="0.25">
      <c r="A12" s="165"/>
      <c r="B12" s="166"/>
      <c r="C12" s="166"/>
      <c r="D12" s="166"/>
      <c r="E12" s="166"/>
      <c r="F12" s="166"/>
      <c r="G12" s="166"/>
      <c r="H12" s="166"/>
      <c r="I12" s="167"/>
    </row>
    <row r="13" spans="1:9" ht="15" customHeight="1" x14ac:dyDescent="0.25">
      <c r="A13" s="170" t="s">
        <v>75</v>
      </c>
      <c r="B13" s="198"/>
      <c r="C13" s="198"/>
      <c r="D13" s="198"/>
      <c r="E13" s="198"/>
      <c r="F13" s="198"/>
      <c r="G13" s="198"/>
      <c r="H13" s="198"/>
      <c r="I13" s="152"/>
    </row>
    <row r="14" spans="1:9" x14ac:dyDescent="0.25">
      <c r="A14" s="158" t="s">
        <v>77</v>
      </c>
      <c r="B14" s="201"/>
      <c r="C14" s="201"/>
      <c r="D14" s="201"/>
      <c r="E14" s="201"/>
      <c r="F14" s="201"/>
      <c r="G14" s="201"/>
      <c r="H14" s="201"/>
      <c r="I14" s="159"/>
    </row>
    <row r="15" spans="1:9" ht="15" customHeight="1" x14ac:dyDescent="0.25">
      <c r="A15" s="160"/>
      <c r="B15" s="161"/>
      <c r="C15" s="161"/>
      <c r="D15" s="161"/>
      <c r="E15" s="161"/>
      <c r="F15" s="161"/>
      <c r="G15" s="161"/>
      <c r="H15" s="161"/>
      <c r="I15" s="162"/>
    </row>
    <row r="16" spans="1:9" ht="15" customHeight="1" x14ac:dyDescent="0.25">
      <c r="A16" s="170" t="s">
        <v>78</v>
      </c>
      <c r="B16" s="198"/>
      <c r="C16" s="198"/>
      <c r="D16" s="198"/>
      <c r="E16" s="198"/>
      <c r="F16" s="198"/>
      <c r="G16" s="198"/>
      <c r="H16" s="198"/>
      <c r="I16" s="152"/>
    </row>
    <row r="17" spans="1:9" ht="15" customHeight="1" x14ac:dyDescent="0.25">
      <c r="A17" s="163" t="s">
        <v>79</v>
      </c>
      <c r="B17" s="199"/>
      <c r="C17" s="199"/>
      <c r="D17" s="199"/>
      <c r="E17" s="199"/>
      <c r="F17" s="199"/>
      <c r="G17" s="199"/>
      <c r="H17" s="199"/>
      <c r="I17" s="164"/>
    </row>
    <row r="18" spans="1:9" x14ac:dyDescent="0.25">
      <c r="A18" s="165"/>
      <c r="B18" s="166"/>
      <c r="C18" s="166"/>
      <c r="D18" s="166"/>
      <c r="E18" s="166"/>
      <c r="F18" s="166"/>
      <c r="G18" s="166"/>
      <c r="H18" s="166"/>
      <c r="I18" s="167"/>
    </row>
    <row r="19" spans="1:9" ht="15" customHeight="1" x14ac:dyDescent="0.25">
      <c r="A19" s="170" t="s">
        <v>80</v>
      </c>
      <c r="B19" s="198"/>
      <c r="C19" s="198"/>
      <c r="D19" s="198"/>
      <c r="E19" s="198"/>
      <c r="F19" s="198"/>
      <c r="G19" s="198"/>
      <c r="H19" s="198"/>
      <c r="I19" s="152"/>
    </row>
    <row r="20" spans="1:9" ht="15" customHeight="1" x14ac:dyDescent="0.25">
      <c r="A20" s="163" t="s">
        <v>81</v>
      </c>
      <c r="B20" s="199"/>
      <c r="C20" s="199"/>
      <c r="D20" s="199"/>
      <c r="E20" s="199"/>
      <c r="F20" s="199"/>
      <c r="G20" s="199"/>
      <c r="H20" s="199"/>
      <c r="I20" s="164"/>
    </row>
    <row r="21" spans="1:9" ht="15" customHeight="1" x14ac:dyDescent="0.25">
      <c r="A21" s="165"/>
      <c r="B21" s="166"/>
      <c r="C21" s="166"/>
      <c r="D21" s="166"/>
      <c r="E21" s="166"/>
      <c r="F21" s="166"/>
      <c r="G21" s="166"/>
      <c r="H21" s="166"/>
      <c r="I21" s="167"/>
    </row>
    <row r="22" spans="1:9" ht="15" customHeight="1" x14ac:dyDescent="0.25">
      <c r="A22" s="168"/>
      <c r="B22" s="202"/>
      <c r="C22" s="202"/>
      <c r="D22" s="202"/>
      <c r="E22" s="202"/>
      <c r="F22" s="202"/>
      <c r="G22" s="202"/>
      <c r="H22" s="202"/>
      <c r="I22" s="169"/>
    </row>
    <row r="23" spans="1:9" x14ac:dyDescent="0.25">
      <c r="A23" s="168"/>
      <c r="B23" s="202"/>
      <c r="C23" s="202"/>
      <c r="D23" s="202"/>
      <c r="E23" s="202"/>
      <c r="F23" s="202"/>
      <c r="G23" s="202"/>
      <c r="H23" s="202"/>
      <c r="I23" s="169"/>
    </row>
    <row r="24" spans="1:9" x14ac:dyDescent="0.25">
      <c r="A24" s="168"/>
      <c r="B24" s="202"/>
      <c r="C24" s="202"/>
      <c r="D24" s="202"/>
      <c r="E24" s="202"/>
      <c r="F24" s="202"/>
      <c r="G24" s="202"/>
      <c r="H24" s="202"/>
      <c r="I24" s="169"/>
    </row>
    <row r="25" spans="1:9" x14ac:dyDescent="0.25">
      <c r="A25" s="168"/>
      <c r="B25" s="202"/>
      <c r="C25" s="202"/>
      <c r="D25" s="202"/>
      <c r="E25" s="202"/>
      <c r="F25" s="202"/>
      <c r="G25" s="202"/>
      <c r="H25" s="202"/>
      <c r="I25" s="169"/>
    </row>
    <row r="26" spans="1:9" x14ac:dyDescent="0.25">
      <c r="A26" s="168"/>
      <c r="B26" s="202"/>
      <c r="C26" s="202"/>
      <c r="D26" s="202"/>
      <c r="E26" s="202"/>
      <c r="F26" s="202"/>
      <c r="G26" s="202"/>
      <c r="H26" s="202"/>
      <c r="I26" s="169"/>
    </row>
    <row r="27" spans="1:9" x14ac:dyDescent="0.25">
      <c r="A27" s="168"/>
      <c r="B27" s="202"/>
      <c r="C27" s="202"/>
      <c r="D27" s="202"/>
      <c r="E27" s="202"/>
      <c r="F27" s="202"/>
      <c r="G27" s="202"/>
      <c r="H27" s="202"/>
      <c r="I27" s="169"/>
    </row>
    <row r="28" spans="1:9" x14ac:dyDescent="0.25">
      <c r="A28" s="163"/>
      <c r="B28" s="199"/>
      <c r="C28" s="199"/>
      <c r="D28" s="199"/>
      <c r="E28" s="199"/>
      <c r="F28" s="199"/>
      <c r="G28" s="199"/>
      <c r="H28" s="199"/>
      <c r="I28" s="164"/>
    </row>
    <row r="29" spans="1:9" x14ac:dyDescent="0.25">
      <c r="A29" s="163"/>
      <c r="B29" s="199"/>
      <c r="C29" s="199"/>
      <c r="D29" s="199"/>
      <c r="E29" s="199"/>
      <c r="F29" s="199"/>
      <c r="G29" s="199"/>
      <c r="H29" s="199"/>
      <c r="I29" s="164"/>
    </row>
    <row r="30" spans="1:9" x14ac:dyDescent="0.25">
      <c r="A30" s="151"/>
      <c r="B30" s="198"/>
      <c r="C30" s="198"/>
      <c r="D30" s="198"/>
      <c r="E30" s="198"/>
      <c r="F30" s="198"/>
      <c r="G30" s="198"/>
      <c r="H30" s="198"/>
      <c r="I30" s="152"/>
    </row>
    <row r="31" spans="1:9" x14ac:dyDescent="0.25">
      <c r="A31" s="151"/>
      <c r="B31" s="198"/>
      <c r="C31" s="198"/>
      <c r="D31" s="198"/>
      <c r="E31" s="198"/>
      <c r="F31" s="198"/>
      <c r="G31" s="198"/>
      <c r="H31" s="198"/>
      <c r="I31" s="152"/>
    </row>
    <row r="32" spans="1:9" x14ac:dyDescent="0.25">
      <c r="A32" s="151"/>
      <c r="B32" s="198"/>
      <c r="C32" s="198"/>
      <c r="D32" s="198"/>
      <c r="E32" s="198"/>
      <c r="F32" s="198"/>
      <c r="G32" s="198"/>
      <c r="H32" s="198"/>
      <c r="I32" s="152"/>
    </row>
    <row r="33" spans="1:9" x14ac:dyDescent="0.25">
      <c r="A33" s="151"/>
      <c r="B33" s="198"/>
      <c r="C33" s="198"/>
      <c r="D33" s="198"/>
      <c r="E33" s="198"/>
      <c r="F33" s="198"/>
      <c r="G33" s="198"/>
      <c r="H33" s="198"/>
      <c r="I33" s="152"/>
    </row>
    <row r="34" spans="1:9" x14ac:dyDescent="0.25">
      <c r="A34" s="151"/>
      <c r="B34" s="198"/>
      <c r="C34" s="198"/>
      <c r="D34" s="198"/>
      <c r="E34" s="198"/>
      <c r="F34" s="198"/>
      <c r="G34" s="198"/>
      <c r="H34" s="198"/>
      <c r="I34" s="152"/>
    </row>
    <row r="35" spans="1:9" x14ac:dyDescent="0.25">
      <c r="A35" s="151"/>
      <c r="B35" s="198"/>
      <c r="C35" s="198"/>
      <c r="D35" s="198"/>
      <c r="E35" s="198"/>
      <c r="F35" s="198"/>
      <c r="G35" s="198"/>
      <c r="H35" s="198"/>
      <c r="I35" s="152"/>
    </row>
    <row r="36" spans="1:9" x14ac:dyDescent="0.25">
      <c r="A36" s="151"/>
      <c r="B36" s="198"/>
      <c r="C36" s="198"/>
      <c r="D36" s="198"/>
      <c r="E36" s="198"/>
      <c r="F36" s="198"/>
      <c r="G36" s="198"/>
      <c r="H36" s="198"/>
      <c r="I36" s="152"/>
    </row>
    <row r="37" spans="1:9" x14ac:dyDescent="0.25">
      <c r="A37" s="151"/>
      <c r="B37" s="198"/>
      <c r="C37" s="198"/>
      <c r="D37" s="198"/>
      <c r="E37" s="198"/>
      <c r="F37" s="198"/>
      <c r="G37" s="198"/>
      <c r="H37" s="198"/>
      <c r="I37" s="152"/>
    </row>
    <row r="38" spans="1:9" x14ac:dyDescent="0.25">
      <c r="A38" s="151"/>
      <c r="B38" s="198"/>
      <c r="C38" s="198"/>
      <c r="D38" s="198"/>
      <c r="E38" s="198"/>
      <c r="F38" s="198"/>
      <c r="G38" s="198"/>
      <c r="H38" s="198"/>
      <c r="I38" s="152"/>
    </row>
    <row r="39" spans="1:9" x14ac:dyDescent="0.25">
      <c r="A39" s="151"/>
      <c r="B39" s="198"/>
      <c r="C39" s="198"/>
      <c r="D39" s="198"/>
      <c r="E39" s="198"/>
      <c r="F39" s="198"/>
      <c r="G39" s="198"/>
      <c r="H39" s="198"/>
      <c r="I39" s="152"/>
    </row>
    <row r="40" spans="1:9" x14ac:dyDescent="0.25">
      <c r="A40" s="151"/>
      <c r="B40" s="198"/>
      <c r="C40" s="198"/>
      <c r="D40" s="198"/>
      <c r="E40" s="198"/>
      <c r="F40" s="198"/>
      <c r="G40" s="198"/>
      <c r="H40" s="198"/>
      <c r="I40" s="152"/>
    </row>
    <row r="41" spans="1:9" x14ac:dyDescent="0.25">
      <c r="A41" s="151"/>
      <c r="B41" s="198"/>
      <c r="C41" s="198"/>
      <c r="D41" s="198"/>
      <c r="E41" s="198"/>
      <c r="F41" s="198"/>
      <c r="G41" s="198"/>
      <c r="H41" s="198"/>
      <c r="I41" s="152"/>
    </row>
    <row r="42" spans="1:9" x14ac:dyDescent="0.25">
      <c r="A42" s="151"/>
      <c r="B42" s="198"/>
      <c r="C42" s="198"/>
      <c r="D42" s="198"/>
      <c r="E42" s="198"/>
      <c r="F42" s="198"/>
      <c r="G42" s="198"/>
      <c r="H42" s="198"/>
      <c r="I42" s="152"/>
    </row>
    <row r="43" spans="1:9" x14ac:dyDescent="0.25">
      <c r="A43" s="151"/>
      <c r="B43" s="198"/>
      <c r="C43" s="198"/>
      <c r="D43" s="198"/>
      <c r="E43" s="198"/>
      <c r="F43" s="198"/>
      <c r="G43" s="198"/>
      <c r="H43" s="198"/>
      <c r="I43" s="152"/>
    </row>
    <row r="44" spans="1:9" x14ac:dyDescent="0.25">
      <c r="A44" s="151"/>
      <c r="B44" s="198"/>
      <c r="C44" s="198"/>
      <c r="D44" s="198"/>
      <c r="E44" s="198"/>
      <c r="F44" s="198"/>
      <c r="G44" s="198"/>
      <c r="H44" s="198"/>
      <c r="I44" s="152"/>
    </row>
    <row r="45" spans="1:9" x14ac:dyDescent="0.25">
      <c r="A45" s="151"/>
      <c r="B45" s="198"/>
      <c r="C45" s="198"/>
      <c r="D45" s="198"/>
      <c r="E45" s="198"/>
      <c r="F45" s="198"/>
      <c r="G45" s="198"/>
      <c r="H45" s="198"/>
      <c r="I45" s="152"/>
    </row>
    <row r="46" spans="1:9" ht="15.75" thickBot="1" x14ac:dyDescent="0.3">
      <c r="A46" s="155"/>
      <c r="B46" s="156"/>
      <c r="C46" s="156"/>
      <c r="D46" s="156"/>
      <c r="E46" s="156"/>
      <c r="F46" s="156"/>
      <c r="G46" s="156"/>
      <c r="H46" s="156"/>
      <c r="I46" s="157"/>
    </row>
  </sheetData>
  <mergeCells count="40">
    <mergeCell ref="A5:I5"/>
    <mergeCell ref="A7:I7"/>
    <mergeCell ref="A1:D1"/>
    <mergeCell ref="A8:I8"/>
    <mergeCell ref="A9:I9"/>
    <mergeCell ref="A4:I4"/>
    <mergeCell ref="A11:I12"/>
    <mergeCell ref="A27:I27"/>
    <mergeCell ref="A16:I16"/>
    <mergeCell ref="A19:I19"/>
    <mergeCell ref="A13:I13"/>
    <mergeCell ref="A17:I18"/>
    <mergeCell ref="A22:I22"/>
    <mergeCell ref="A23:I23"/>
    <mergeCell ref="A24:I24"/>
    <mergeCell ref="A25:I25"/>
    <mergeCell ref="A26:I26"/>
    <mergeCell ref="A37:I37"/>
    <mergeCell ref="A38:I38"/>
    <mergeCell ref="A39:I39"/>
    <mergeCell ref="A30:I30"/>
    <mergeCell ref="A31:I31"/>
    <mergeCell ref="A32:I32"/>
    <mergeCell ref="A33:I33"/>
    <mergeCell ref="A34:I34"/>
    <mergeCell ref="A2:I2"/>
    <mergeCell ref="A3:I3"/>
    <mergeCell ref="A6:I6"/>
    <mergeCell ref="A45:I45"/>
    <mergeCell ref="A46:I46"/>
    <mergeCell ref="A14:I15"/>
    <mergeCell ref="A20:I21"/>
    <mergeCell ref="A28:I29"/>
    <mergeCell ref="A40:I40"/>
    <mergeCell ref="A41:I41"/>
    <mergeCell ref="A42:I42"/>
    <mergeCell ref="A43:I43"/>
    <mergeCell ref="A44:I44"/>
    <mergeCell ref="A35:I35"/>
    <mergeCell ref="A36:I3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6F263-14D8-4D9D-9F1C-38D517351AAE}">
  <dimension ref="A1:O8"/>
  <sheetViews>
    <sheetView workbookViewId="0">
      <selection activeCell="C4" sqref="C4"/>
    </sheetView>
  </sheetViews>
  <sheetFormatPr baseColWidth="10" defaultRowHeight="15" x14ac:dyDescent="0.25"/>
  <cols>
    <col min="1" max="1" width="10" customWidth="1"/>
    <col min="2" max="2" width="6.7109375" customWidth="1"/>
    <col min="3" max="3" width="9.42578125" customWidth="1"/>
    <col min="4" max="4" width="4.28515625" customWidth="1"/>
    <col min="5" max="5" width="8" customWidth="1"/>
    <col min="6" max="6" width="9.28515625" customWidth="1"/>
    <col min="7" max="7" width="10.85546875" customWidth="1"/>
    <col min="8" max="8" width="8.85546875" customWidth="1"/>
    <col min="9" max="9" width="9.7109375" customWidth="1"/>
    <col min="10" max="11" width="8.140625" customWidth="1"/>
    <col min="12" max="12" width="4.7109375" customWidth="1"/>
    <col min="13" max="14" width="9.42578125" customWidth="1"/>
    <col min="15" max="15" width="11.7109375" customWidth="1"/>
    <col min="16" max="16" width="9.7109375" customWidth="1"/>
    <col min="18" max="18" width="12.42578125" customWidth="1"/>
  </cols>
  <sheetData>
    <row r="1" spans="1:15" ht="15" customHeight="1" thickBot="1" x14ac:dyDescent="0.3">
      <c r="A1" s="181" t="s">
        <v>0</v>
      </c>
      <c r="B1" s="182"/>
      <c r="C1" s="183"/>
      <c r="E1" s="181" t="s">
        <v>9</v>
      </c>
      <c r="F1" s="182"/>
      <c r="G1" s="183"/>
      <c r="H1" s="180"/>
      <c r="I1" s="180"/>
      <c r="J1" s="1"/>
    </row>
    <row r="2" spans="1:15" ht="15" customHeight="1" thickBot="1" x14ac:dyDescent="0.3">
      <c r="A2" s="19"/>
      <c r="B2" s="21" t="s">
        <v>10</v>
      </c>
      <c r="C2" s="21" t="s">
        <v>11</v>
      </c>
      <c r="E2" s="19"/>
      <c r="F2" s="21" t="s">
        <v>10</v>
      </c>
      <c r="G2" s="20" t="s">
        <v>11</v>
      </c>
      <c r="H2" s="1"/>
      <c r="I2" s="1"/>
      <c r="J2" s="1"/>
    </row>
    <row r="3" spans="1:15" ht="15" customHeight="1" thickBot="1" x14ac:dyDescent="0.3">
      <c r="A3" s="6" t="s">
        <v>1</v>
      </c>
      <c r="B3" s="7">
        <v>0</v>
      </c>
      <c r="C3" s="8">
        <v>0</v>
      </c>
      <c r="E3" s="23" t="s">
        <v>1</v>
      </c>
      <c r="F3" s="5">
        <v>0</v>
      </c>
      <c r="G3" s="12">
        <v>0</v>
      </c>
      <c r="N3" s="185" t="s">
        <v>10</v>
      </c>
      <c r="O3" s="183" t="s">
        <v>17</v>
      </c>
    </row>
    <row r="4" spans="1:15" ht="15" customHeight="1" thickBot="1" x14ac:dyDescent="0.3">
      <c r="A4" s="6" t="s">
        <v>2</v>
      </c>
      <c r="B4" s="7">
        <v>0</v>
      </c>
      <c r="C4" s="8">
        <f>Front!D26</f>
        <v>14</v>
      </c>
      <c r="E4" s="10" t="s">
        <v>2</v>
      </c>
      <c r="F4" s="11">
        <v>0</v>
      </c>
      <c r="G4" s="8">
        <v>0</v>
      </c>
      <c r="M4" s="27"/>
      <c r="N4" s="186"/>
      <c r="O4" s="184"/>
    </row>
    <row r="5" spans="1:15" ht="15" customHeight="1" thickBot="1" x14ac:dyDescent="0.3">
      <c r="A5" s="6" t="s">
        <v>3</v>
      </c>
      <c r="B5" s="7">
        <v>0</v>
      </c>
      <c r="C5" s="8">
        <v>0</v>
      </c>
      <c r="E5" s="17"/>
      <c r="F5" s="22"/>
      <c r="G5" s="18"/>
      <c r="J5" s="21" t="s">
        <v>10</v>
      </c>
      <c r="K5" s="21" t="s">
        <v>20</v>
      </c>
      <c r="M5" s="2" t="s">
        <v>15</v>
      </c>
      <c r="N5" s="28">
        <v>0</v>
      </c>
      <c r="O5" s="29">
        <v>0</v>
      </c>
    </row>
    <row r="6" spans="1:15" ht="15" customHeight="1" thickBot="1" x14ac:dyDescent="0.3">
      <c r="A6" s="14" t="s">
        <v>4</v>
      </c>
      <c r="B6" s="15">
        <v>0</v>
      </c>
      <c r="C6" s="12">
        <v>0</v>
      </c>
      <c r="E6" s="17"/>
      <c r="F6" s="22"/>
      <c r="G6" s="18"/>
      <c r="I6" s="2" t="s">
        <v>8</v>
      </c>
      <c r="J6" s="26">
        <v>0</v>
      </c>
      <c r="K6" s="4" t="s">
        <v>14</v>
      </c>
      <c r="M6" s="2" t="s">
        <v>16</v>
      </c>
      <c r="N6" s="26">
        <v>0</v>
      </c>
      <c r="O6" s="3">
        <v>0</v>
      </c>
    </row>
    <row r="7" spans="1:15" ht="15" customHeight="1" thickBot="1" x14ac:dyDescent="0.3">
      <c r="A7" s="10" t="s">
        <v>5</v>
      </c>
      <c r="B7" s="11">
        <v>0</v>
      </c>
      <c r="C7" s="8">
        <v>0</v>
      </c>
      <c r="E7" s="10" t="s">
        <v>5</v>
      </c>
      <c r="F7" s="11">
        <v>0</v>
      </c>
      <c r="G7" s="8">
        <v>0</v>
      </c>
    </row>
    <row r="8" spans="1:15" ht="15" customHeight="1" thickBot="1" x14ac:dyDescent="0.3">
      <c r="A8" s="9" t="s">
        <v>6</v>
      </c>
      <c r="B8" s="16">
        <v>0</v>
      </c>
      <c r="C8" s="13">
        <v>0</v>
      </c>
      <c r="E8" s="24" t="s">
        <v>6</v>
      </c>
      <c r="F8" s="25">
        <v>0</v>
      </c>
      <c r="G8" s="13">
        <v>0</v>
      </c>
    </row>
  </sheetData>
  <mergeCells count="5">
    <mergeCell ref="H1:I1"/>
    <mergeCell ref="A1:C1"/>
    <mergeCell ref="E1:G1"/>
    <mergeCell ref="O3:O4"/>
    <mergeCell ref="N3:N4"/>
  </mergeCells>
  <dataValidations count="1">
    <dataValidation type="list" allowBlank="1" showInputMessage="1" showErrorMessage="1" sqref="K6" xr:uid="{E1FA2264-B5F6-4549-B0D7-4D2128963B76}">
      <formula1>"Normal,Edge"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Front</vt:lpstr>
      <vt:lpstr>Descriptions</vt:lpstr>
      <vt:lpstr>Modifiers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JUAREZ JAVIER DAVID</cp:lastModifiedBy>
  <cp:lastPrinted>2025-05-29T18:57:03Z</cp:lastPrinted>
  <dcterms:created xsi:type="dcterms:W3CDTF">2015-06-05T18:19:34Z</dcterms:created>
  <dcterms:modified xsi:type="dcterms:W3CDTF">2025-05-29T20:33:38Z</dcterms:modified>
</cp:coreProperties>
</file>
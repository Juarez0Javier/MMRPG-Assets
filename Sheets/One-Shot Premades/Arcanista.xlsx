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A:\Javier\TTRPGs\Marvel Multiverse RPG\Sheets\One-Shot Premades\"/>
    </mc:Choice>
  </mc:AlternateContent>
  <xr:revisionPtr revIDLastSave="0" documentId="13_ncr:1_{749A85E7-AC16-4E87-BA6F-45BA7F3B38C2}" xr6:coauthVersionLast="47" xr6:coauthVersionMax="47" xr10:uidLastSave="{00000000-0000-0000-0000-000000000000}"/>
  <bookViews>
    <workbookView xWindow="-120" yWindow="-120" windowWidth="20730" windowHeight="11160" xr2:uid="{00000000-000D-0000-FFFF-FFFF00000000}"/>
  </bookViews>
  <sheets>
    <sheet name="Frente" sheetId="1" r:id="rId1"/>
    <sheet name="Descripciones" sheetId="2" r:id="rId2"/>
    <sheet name="Archetipos" sheetId="5" r:id="rId3"/>
    <sheet name="Modifier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8" i="1" l="1"/>
  <c r="C12" i="1"/>
  <c r="C16" i="1"/>
  <c r="C48" i="1"/>
  <c r="C46" i="1"/>
  <c r="C44" i="1"/>
  <c r="C42" i="1"/>
  <c r="E20" i="1"/>
  <c r="D30" i="1"/>
  <c r="E42" i="1"/>
  <c r="E44" i="1"/>
  <c r="E46" i="1"/>
  <c r="E48" i="1"/>
  <c r="D32" i="1"/>
  <c r="D34" i="1"/>
  <c r="D36" i="1"/>
  <c r="D28"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<sst xmlns="http://schemas.openxmlformats.org/spreadsheetml/2006/main" count="116" uniqueCount="91">
  <si>
    <t>Defense Score</t>
  </si>
  <si>
    <t>Melee</t>
  </si>
  <si>
    <t>Agility</t>
  </si>
  <si>
    <t>Resilience</t>
  </si>
  <si>
    <t>Vigilance</t>
  </si>
  <si>
    <t>Ego</t>
  </si>
  <si>
    <t>Logic</t>
  </si>
  <si>
    <t>+</t>
  </si>
  <si>
    <t xml:space="preserve">Initiative </t>
  </si>
  <si>
    <t>Damage Multiplier</t>
  </si>
  <si>
    <t>Bonus</t>
  </si>
  <si>
    <t>Override</t>
  </si>
  <si>
    <t>Normal</t>
  </si>
  <si>
    <t xml:space="preserve">Health </t>
  </si>
  <si>
    <t xml:space="preserve">Focus </t>
  </si>
  <si>
    <t>Multiplier Override</t>
  </si>
  <si>
    <t>Edge</t>
  </si>
  <si>
    <t>Reservas</t>
  </si>
  <si>
    <t>Poderes</t>
  </si>
  <si>
    <t>Origen</t>
  </si>
  <si>
    <t>Alineamiento</t>
  </si>
  <si>
    <t>Identidad</t>
  </si>
  <si>
    <t>Tamaño</t>
  </si>
  <si>
    <t>Velocidad</t>
  </si>
  <si>
    <t>Daño</t>
  </si>
  <si>
    <t>Habilidades</t>
  </si>
  <si>
    <t>Valor de Habilidad</t>
  </si>
  <si>
    <t>Defensa de Habilidad</t>
  </si>
  <si>
    <t>Agilidad</t>
  </si>
  <si>
    <t>Vigilancia</t>
  </si>
  <si>
    <t>Resiliencia</t>
  </si>
  <si>
    <t>Reducción de Daño</t>
  </si>
  <si>
    <t>Modificador de Iniciativa</t>
  </si>
  <si>
    <t>Lógica</t>
  </si>
  <si>
    <t>Ocupación</t>
  </si>
  <si>
    <t>Heroico</t>
  </si>
  <si>
    <t>Talentos</t>
  </si>
  <si>
    <t>Nombre Civil</t>
  </si>
  <si>
    <t>Nombre Heroico</t>
  </si>
  <si>
    <t>Rasgos</t>
  </si>
  <si>
    <r>
      <rPr>
        <b/>
        <sz val="10"/>
        <color theme="1"/>
        <rFont val="Calibri"/>
        <family val="2"/>
        <scheme val="minor"/>
      </rPr>
      <t>Correr</t>
    </r>
    <r>
      <rPr>
        <sz val="10"/>
        <color theme="1"/>
        <rFont val="Calibri"/>
        <family val="2"/>
        <scheme val="minor"/>
      </rPr>
      <t xml:space="preserve"> 5</t>
    </r>
  </si>
  <si>
    <t>Conocimiento Arcano</t>
  </si>
  <si>
    <t>Deducir con Estudio</t>
  </si>
  <si>
    <t>✡</t>
  </si>
  <si>
    <t>/10</t>
  </si>
  <si>
    <t>Teletransportación</t>
  </si>
  <si>
    <t>Grado</t>
  </si>
  <si>
    <t>Sentir Supernatural (Estándar, Instantáneo)</t>
  </si>
  <si>
    <t>Incrementos de Habilidades</t>
  </si>
  <si>
    <t>+1 Agilidad  +1 Vigilancia</t>
  </si>
  <si>
    <t>Arcanista</t>
  </si>
  <si>
    <t>Arcanista - Curandero</t>
  </si>
  <si>
    <t>Manos Curativas (Estándar, Instantáneo, 5+ Foco)</t>
  </si>
  <si>
    <t>Rayo Curativo (Estándar, Instantáneo, 10+ Foco)</t>
  </si>
  <si>
    <t>Arcanista - Mago</t>
  </si>
  <si>
    <r>
      <t xml:space="preserve">Magia: </t>
    </r>
    <r>
      <rPr>
        <sz val="11"/>
        <color theme="1"/>
        <rFont val="Calibri"/>
        <family val="2"/>
        <scheme val="minor"/>
      </rPr>
      <t>Llamas de la Falla, Brazos Helados de Ikathon</t>
    </r>
  </si>
  <si>
    <t>Llamas de la Falla (Estándar, Instantáneo + Concentración, 5 Foco)</t>
  </si>
  <si>
    <t>Brazos Helados de Ikathon (Estándar, Instantáneo + Concentración, 5 Foco)</t>
  </si>
  <si>
    <t>[+1 a Elección]</t>
  </si>
  <si>
    <t>Información Adicional y Etiquetas</t>
  </si>
  <si>
    <t>Hechicero, Supernatural</t>
  </si>
  <si>
    <t>Magia: Hechicería</t>
  </si>
  <si>
    <t>Descripciones de Rasgos y Poderes</t>
  </si>
  <si>
    <t>Melé</t>
  </si>
  <si>
    <t>Tot. 10</t>
  </si>
  <si>
    <t>Resiliencia + 1 x 20</t>
  </si>
  <si>
    <t>Aguante</t>
  </si>
  <si>
    <t xml:space="preserve">Foco </t>
  </si>
  <si>
    <t xml:space="preserve">Avances </t>
  </si>
  <si>
    <t>10 Puntos por Grado</t>
  </si>
  <si>
    <t xml:space="preserve">Karma </t>
  </si>
  <si>
    <t>Vigilancia + 1 x 20</t>
  </si>
  <si>
    <t>Parpadeo, Teletransporte</t>
  </si>
  <si>
    <t>Sentir Supernatural, Rayos de Balthakk</t>
  </si>
  <si>
    <t>Chequeo de Ego. Detectas objetos, personas o lugares supernaturales dentro de 100 espacios por Grado. Sabes su localización y su estado general. Si un objeto, persona o lugar dentro del  rango se resiste o esta protegido, Chequeo de Ego vs Defensa de Ego (en caso de persona) o TN variable (en caso de objeto o lugar). En un éxito, lo detectas. Si es Fantástico, sabes la naturaleza exacta de la magia.</t>
  </si>
  <si>
    <t>+5 Avances</t>
  </si>
  <si>
    <r>
      <t xml:space="preserve">Curación: </t>
    </r>
    <r>
      <rPr>
        <sz val="11"/>
        <color theme="1"/>
        <rFont val="Calibri"/>
        <family val="2"/>
        <scheme val="minor"/>
      </rPr>
      <t>Primeros Auxilios, Manos Curativas, Rayo Curativo</t>
    </r>
  </si>
  <si>
    <t>Primeros Auxilios (Estándar o Reacción, Concentración)</t>
  </si>
  <si>
    <t>+1 Ego  +1 Lógica</t>
  </si>
  <si>
    <r>
      <t xml:space="preserve">Talentos: </t>
    </r>
    <r>
      <rPr>
        <sz val="11"/>
        <color theme="0" tint="-0.34998626667073579"/>
        <rFont val="Calibri"/>
        <family val="2"/>
        <scheme val="minor"/>
      </rPr>
      <t>[1 a Elección]</t>
    </r>
  </si>
  <si>
    <t xml:space="preserve">Ataque de Ego vs Defensa de Agilidad a rango normal. En un éxito, mitad de daño de Aguante y el objetivo esta Dañándose hasta que se termine la Concentración. Si es Fantástico, la condición de Dañándose hace 5 mas de daño de Aguante. </t>
  </si>
  <si>
    <t>Ataque de Ego vs Defensa de Agilidad a rango normal. En un éxito, mitad de daño de Aguante y el objetivo esta Alentado. Si es Fantástico, el objetivo esta Restringido. En ambos casos, el efecto adicional dura hasta que se termine la Concentración.</t>
  </si>
  <si>
    <t>Teletransporte (Estándar y Movimiento, Instantáneo, 5 Foco)</t>
  </si>
  <si>
    <t>Cuando un aliado en alcance se vuelve Inconsciente. Una aliado en alcance pierde la condición de Inconsciente mientras mantienes la Concentración, pero solo puede tomar una Acción por ronda. Este poder también termina cuando la vida del aliado se vuelve mayor a 0.</t>
  </si>
  <si>
    <t>Ataque de Ego vs Defensa de Agilidad a rango normal. En un éxito, daño normal de Aguante. Si es Fantástico, doble daño y el objetivo esta Aturdido.</t>
  </si>
  <si>
    <t>Te teletransportas hasta un numero de espacios igual a 10, a un espacio que hayas visto. Este movimiento cuenta como usar una Velocidad.</t>
  </si>
  <si>
    <t>Parpadeo (Reacción o  Movimiento, Instantáneo)</t>
  </si>
  <si>
    <t>Rayos de Balthaak (Estándar, Instantáneo)</t>
  </si>
  <si>
    <t xml:space="preserve">Un aliado en rango gana Aguante igual al Foco gastado + 5. </t>
  </si>
  <si>
    <t>Un aliado en rango gana Aguante igual al Foco gastado.</t>
  </si>
  <si>
    <t>Cuanto te atacan vs Defensas Físicas. Te teletransportas hasta un numero de espacios igual a 2, y a un espacio que hayas visto. Si ya no estas dentro del rango del ataque, o no puedes ser detectado, el enemigo atacante pierde su ataque.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</si>
</sst>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2"/>
      <name val="Calibri"/>
      <family val="2"/>
      <scheme val="minor"/>
    </font>
    <font>
      <b/>
      <sz val="10"/>
      <color theme="1"/>
      <name val="Calibri"/>
      <family val="2"/>
      <scheme val="minor"/>
    </font>
    <font>
      <sz val="10"/>
      <color theme="1"/>
      <name val="Calibri"/>
      <family val="2"/>
      <scheme val="minor"/>
    </font>
    <font>
      <sz val="8"/>
      <name val="Calibri"/>
      <family val="2"/>
      <scheme val="minor"/>
    </font>
    <font>
      <b/>
      <sz val="10"/>
      <color theme="0"/>
      <name val="Calibri"/>
      <family val="2"/>
      <scheme val="minor"/>
    </font>
    <font>
      <b/>
      <sz val="10"/>
      <color rgb="FFC00000"/>
      <name val="Calibri"/>
      <family val="2"/>
      <scheme val="minor"/>
    </font>
    <font>
      <b/>
      <sz val="11"/>
      <color theme="0"/>
      <name val="Calibri"/>
      <family val="2"/>
      <scheme val="minor"/>
    </font>
    <font>
      <b/>
      <sz val="8"/>
      <color theme="0"/>
      <name val="Calibri"/>
      <family val="2"/>
      <scheme val="minor"/>
    </font>
    <font>
      <b/>
      <sz val="18"/>
      <color theme="0"/>
      <name val="Calibri"/>
      <family val="2"/>
      <scheme val="minor"/>
    </font>
    <font>
      <sz val="8"/>
      <color theme="1"/>
      <name val="Calibri"/>
      <family val="2"/>
      <scheme val="minor"/>
    </font>
    <font>
      <b/>
      <sz val="11"/>
      <color rgb="FFC00000"/>
      <name val="Calibri"/>
      <family val="2"/>
      <scheme val="minor"/>
    </font>
    <font>
      <b/>
      <sz val="11"/>
      <color theme="1"/>
      <name val="Calibri"/>
      <family val="2"/>
      <scheme val="minor"/>
    </font>
    <font>
      <b/>
      <sz val="12"/>
      <color theme="1"/>
      <name val="Calibri"/>
      <family val="2"/>
      <scheme val="minor"/>
    </font>
    <font>
      <sz val="18"/>
      <color theme="5" tint="-0.249977111117893"/>
      <name val="Calibri"/>
      <family val="2"/>
      <scheme val="minor"/>
    </font>
    <font>
      <sz val="10"/>
      <color rgb="FFC00000"/>
      <name val="Calibri"/>
      <family val="2"/>
      <scheme val="minor"/>
    </font>
    <font>
      <sz val="10"/>
      <color theme="0" tint="-0.34998626667073579"/>
      <name val="Calibri"/>
      <family val="2"/>
      <scheme val="minor"/>
    </font>
    <font>
      <sz val="11"/>
      <color theme="0" tint="-0.34998626667073579"/>
      <name val="Calibri"/>
      <family val="2"/>
      <scheme val="minor"/>
    </font>
    <font>
      <u/>
      <sz val="10"/>
      <color theme="1"/>
      <name val="Calibri"/>
      <family val="2"/>
      <scheme val="minor"/>
    </font>
    <font>
      <b/>
      <sz val="10"/>
      <color rgb="FFFFB3B3"/>
      <name val="Calibri"/>
      <family val="2"/>
      <scheme val="minor"/>
    </font>
    <font>
      <u/>
      <sz val="11"/>
      <color theme="1"/>
      <name val="Calibri"/>
      <family val="2"/>
      <scheme val="minor"/>
    </font>
  </fonts>
  <fills count="8">
    <fill>
      <patternFill patternType="none"/>
    </fill>
    <fill>
      <patternFill patternType="gray125"/>
    </fill>
    <fill>
      <patternFill patternType="solid">
        <fgColor rgb="FFC00000"/>
        <bgColor indexed="64"/>
      </patternFill>
    </fill>
    <fill>
      <patternFill patternType="solid">
        <fgColor theme="0"/>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1" tint="0.14999847407452621"/>
        <bgColor indexed="64"/>
      </patternFill>
    </fill>
    <fill>
      <patternFill patternType="solid">
        <fgColor rgb="FFFFE7E7"/>
        <bgColor indexed="64"/>
      </patternFill>
    </fill>
  </fills>
  <borders count="65">
    <border>
      <left/>
      <right/>
      <top/>
      <bottom/>
      <diagonal/>
    </border>
    <border>
      <left style="medium">
        <color rgb="FFC00000"/>
      </left>
      <right style="medium">
        <color rgb="FFC00000"/>
      </right>
      <top style="medium">
        <color rgb="FFC00000"/>
      </top>
      <bottom/>
      <diagonal/>
    </border>
    <border>
      <left style="medium">
        <color rgb="FFC00000"/>
      </left>
      <right style="medium">
        <color rgb="FFC00000"/>
      </right>
      <top/>
      <bottom style="medium">
        <color rgb="FFC00000"/>
      </bottom>
      <diagonal/>
    </border>
    <border>
      <left style="medium">
        <color rgb="FFC00000"/>
      </left>
      <right/>
      <top style="medium">
        <color rgb="FFC00000"/>
      </top>
      <bottom/>
      <diagonal/>
    </border>
    <border>
      <left/>
      <right style="medium">
        <color rgb="FFC00000"/>
      </right>
      <top style="medium">
        <color rgb="FFC00000"/>
      </top>
      <bottom/>
      <diagonal/>
    </border>
    <border>
      <left style="medium">
        <color rgb="FFC00000"/>
      </left>
      <right/>
      <top/>
      <bottom style="medium">
        <color rgb="FFC00000"/>
      </bottom>
      <diagonal/>
    </border>
    <border>
      <left/>
      <right style="medium">
        <color rgb="FFC00000"/>
      </right>
      <top/>
      <bottom style="medium">
        <color rgb="FFC00000"/>
      </bottom>
      <diagonal/>
    </border>
    <border>
      <left/>
      <right style="medium">
        <color rgb="FFC00000"/>
      </right>
      <top/>
      <bottom/>
      <diagonal/>
    </border>
    <border>
      <left style="medium">
        <color rgb="FFC00000"/>
      </left>
      <right/>
      <top/>
      <bottom/>
      <diagonal/>
    </border>
    <border>
      <left style="medium">
        <color rgb="FFC00000"/>
      </left>
      <right/>
      <top style="medium">
        <color rgb="FFC00000"/>
      </top>
      <bottom style="medium">
        <color rgb="FFC00000"/>
      </bottom>
      <diagonal/>
    </border>
    <border>
      <left/>
      <right style="medium">
        <color rgb="FFC00000"/>
      </right>
      <top style="medium">
        <color rgb="FFC00000"/>
      </top>
      <bottom style="medium">
        <color rgb="FFC00000"/>
      </bottom>
      <diagonal/>
    </border>
    <border>
      <left style="medium">
        <color rgb="FFC00000"/>
      </left>
      <right style="medium">
        <color rgb="FFC00000"/>
      </right>
      <top/>
      <bottom/>
      <diagonal/>
    </border>
    <border>
      <left/>
      <right/>
      <top style="medium">
        <color rgb="FFC00000"/>
      </top>
      <bottom/>
      <diagonal/>
    </border>
    <border>
      <left/>
      <right/>
      <top/>
      <bottom style="medium">
        <color rgb="FFC00000"/>
      </bottom>
      <diagonal/>
    </border>
    <border>
      <left style="medium">
        <color rgb="FFC00000"/>
      </left>
      <right/>
      <top style="medium">
        <color rgb="FFC00000"/>
      </top>
      <bottom style="thin">
        <color rgb="FFC00000"/>
      </bottom>
      <diagonal/>
    </border>
    <border>
      <left/>
      <right/>
      <top style="medium">
        <color rgb="FFC00000"/>
      </top>
      <bottom style="thin">
        <color rgb="FFC00000"/>
      </bottom>
      <diagonal/>
    </border>
    <border>
      <left/>
      <right style="medium">
        <color rgb="FFC00000"/>
      </right>
      <top style="medium">
        <color rgb="FFC00000"/>
      </top>
      <bottom style="thin">
        <color rgb="FFC00000"/>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rgb="FFC00000"/>
      </right>
      <top/>
      <bottom style="medium">
        <color rgb="FFC00000"/>
      </bottom>
      <diagonal/>
    </border>
    <border>
      <left/>
      <right/>
      <top style="medium">
        <color rgb="FFC00000"/>
      </top>
      <bottom style="medium">
        <color rgb="FFC00000"/>
      </bottom>
      <diagonal/>
    </border>
    <border>
      <left style="medium">
        <color theme="1"/>
      </left>
      <right style="medium">
        <color theme="1"/>
      </right>
      <top style="medium">
        <color theme="1"/>
      </top>
      <bottom style="medium">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right style="medium">
        <color theme="1"/>
      </right>
      <top/>
      <bottom/>
      <diagonal/>
    </border>
    <border>
      <left style="medium">
        <color theme="1"/>
      </left>
      <right/>
      <top style="medium">
        <color theme="1"/>
      </top>
      <bottom style="medium">
        <color theme="1"/>
      </bottom>
      <diagonal/>
    </border>
    <border>
      <left style="thin">
        <color theme="1"/>
      </left>
      <right style="thin">
        <color theme="1"/>
      </right>
      <top style="medium">
        <color theme="1"/>
      </top>
      <bottom style="medium">
        <color theme="1"/>
      </bottom>
      <diagonal/>
    </border>
    <border>
      <left style="thin">
        <color theme="1"/>
      </left>
      <right style="medium">
        <color theme="1"/>
      </right>
      <top style="medium">
        <color theme="1"/>
      </top>
      <bottom style="medium">
        <color theme="1"/>
      </bottom>
      <diagonal/>
    </border>
    <border>
      <left style="medium">
        <color theme="1"/>
      </left>
      <right/>
      <top/>
      <bottom style="medium">
        <color theme="1"/>
      </bottom>
      <diagonal/>
    </border>
    <border>
      <left style="medium">
        <color theme="1"/>
      </left>
      <right style="thin">
        <color indexed="64"/>
      </right>
      <top style="medium">
        <color theme="1"/>
      </top>
      <bottom style="medium">
        <color theme="1"/>
      </bottom>
      <diagonal/>
    </border>
    <border>
      <left/>
      <right style="medium">
        <color theme="1"/>
      </right>
      <top style="medium">
        <color theme="1"/>
      </top>
      <bottom style="medium">
        <color theme="1"/>
      </bottom>
      <diagonal/>
    </border>
    <border>
      <left/>
      <right/>
      <top style="medium">
        <color theme="1"/>
      </top>
      <bottom style="medium">
        <color theme="1"/>
      </bottom>
      <diagonal/>
    </border>
    <border>
      <left style="thin">
        <color theme="1"/>
      </left>
      <right style="medium">
        <color theme="1"/>
      </right>
      <top style="medium">
        <color theme="1"/>
      </top>
      <bottom/>
      <diagonal/>
    </border>
    <border>
      <left style="thin">
        <color theme="1"/>
      </left>
      <right style="medium">
        <color theme="1"/>
      </right>
      <top/>
      <bottom style="medium">
        <color theme="1"/>
      </bottom>
      <diagonal/>
    </border>
    <border>
      <left style="thin">
        <color theme="1"/>
      </left>
      <right style="thin">
        <color theme="1"/>
      </right>
      <top style="medium">
        <color theme="1"/>
      </top>
      <bottom/>
      <diagonal/>
    </border>
    <border>
      <left style="thin">
        <color theme="1"/>
      </left>
      <right style="thin">
        <color theme="1"/>
      </right>
      <top/>
      <bottom style="medium">
        <color theme="1"/>
      </bottom>
      <diagonal/>
    </border>
    <border>
      <left style="medium">
        <color theme="1"/>
      </left>
      <right/>
      <top/>
      <bottom/>
      <diagonal/>
    </border>
    <border>
      <left style="medium">
        <color theme="1"/>
      </left>
      <right style="thin">
        <color indexed="64"/>
      </right>
      <top/>
      <bottom/>
      <diagonal/>
    </border>
    <border>
      <left style="medium">
        <color theme="1"/>
      </left>
      <right style="thin">
        <color indexed="64"/>
      </right>
      <top/>
      <bottom style="medium">
        <color theme="1"/>
      </bottom>
      <diagonal/>
    </border>
    <border>
      <left/>
      <right/>
      <top/>
      <bottom style="medium">
        <color theme="1"/>
      </bottom>
      <diagonal/>
    </border>
    <border>
      <left/>
      <right/>
      <top/>
      <bottom style="thin">
        <color rgb="FFC00000"/>
      </bottom>
      <diagonal/>
    </border>
    <border>
      <left style="medium">
        <color rgb="FFC00000"/>
      </left>
      <right style="medium">
        <color rgb="FFC00000"/>
      </right>
      <top/>
      <bottom style="thin">
        <color rgb="FFC00000"/>
      </bottom>
      <diagonal/>
    </border>
    <border>
      <left/>
      <right style="thin">
        <color rgb="FFC00000"/>
      </right>
      <top style="medium">
        <color rgb="FFC00000"/>
      </top>
      <bottom/>
      <diagonal/>
    </border>
    <border>
      <left style="medium">
        <color rgb="FFC00000"/>
      </left>
      <right/>
      <top/>
      <bottom style="thin">
        <color rgb="FFC00000"/>
      </bottom>
      <diagonal/>
    </border>
    <border>
      <left/>
      <right style="medium">
        <color rgb="FFC00000"/>
      </right>
      <top/>
      <bottom style="thin">
        <color rgb="FFC00000"/>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theme="1"/>
      </right>
      <top style="medium">
        <color indexed="64"/>
      </top>
      <bottom style="medium">
        <color indexed="64"/>
      </bottom>
      <diagonal/>
    </border>
    <border>
      <left style="thin">
        <color indexed="64"/>
      </left>
      <right style="thin">
        <color theme="1"/>
      </right>
      <top/>
      <bottom style="medium">
        <color indexed="64"/>
      </bottom>
      <diagonal/>
    </border>
    <border>
      <left/>
      <right style="medium">
        <color theme="1"/>
      </right>
      <top/>
      <bottom style="medium">
        <color theme="1"/>
      </bottom>
      <diagonal/>
    </border>
    <border>
      <left/>
      <right/>
      <top style="thin">
        <color rgb="FFC00000"/>
      </top>
      <bottom style="medium">
        <color rgb="FFC00000"/>
      </bottom>
      <diagonal/>
    </border>
    <border>
      <left/>
      <right style="medium">
        <color rgb="FFC00000"/>
      </right>
      <top style="thin">
        <color rgb="FFC00000"/>
      </top>
      <bottom style="medium">
        <color rgb="FFC00000"/>
      </bottom>
      <diagonal/>
    </border>
    <border>
      <left style="medium">
        <color rgb="FFC00000"/>
      </left>
      <right/>
      <top style="thin">
        <color rgb="FFC00000"/>
      </top>
      <bottom style="medium">
        <color rgb="FFC00000"/>
      </bottom>
      <diagonal/>
    </border>
    <border>
      <left style="medium">
        <color rgb="FFC00000"/>
      </left>
      <right style="medium">
        <color rgb="FFC00000"/>
      </right>
      <top style="medium">
        <color rgb="FFC00000"/>
      </top>
      <bottom style="thin">
        <color rgb="FFC00000"/>
      </bottom>
      <diagonal/>
    </border>
    <border>
      <left style="medium">
        <color rgb="FFC00000"/>
      </left>
      <right style="thin">
        <color rgb="FFC00000"/>
      </right>
      <top style="medium">
        <color rgb="FFC00000"/>
      </top>
      <bottom style="medium">
        <color rgb="FFC00000"/>
      </bottom>
      <diagonal/>
    </border>
    <border>
      <left style="medium">
        <color rgb="FFC00000"/>
      </left>
      <right style="medium">
        <color rgb="FFC00000"/>
      </right>
      <top style="medium">
        <color rgb="FFC00000"/>
      </top>
      <bottom style="medium">
        <color rgb="FFC00000"/>
      </bottom>
      <diagonal/>
    </border>
    <border>
      <left style="thin">
        <color rgb="FFC00000"/>
      </left>
      <right/>
      <top style="medium">
        <color rgb="FFC00000"/>
      </top>
      <bottom style="medium">
        <color rgb="FFC00000"/>
      </bottom>
      <diagonal/>
    </border>
    <border>
      <left style="medium">
        <color rgb="FFC00000"/>
      </left>
      <right style="thin">
        <color rgb="FFC00000"/>
      </right>
      <top style="medium">
        <color rgb="FFC00000"/>
      </top>
      <bottom/>
      <diagonal/>
    </border>
    <border>
      <left style="medium">
        <color rgb="FFC00000"/>
      </left>
      <right style="thin">
        <color rgb="FFC00000"/>
      </right>
      <top/>
      <bottom style="medium">
        <color rgb="FFC00000"/>
      </bottom>
      <diagonal/>
    </border>
    <border>
      <left style="thin">
        <color rgb="FFC00000"/>
      </left>
      <right/>
      <top style="medium">
        <color rgb="FFC00000"/>
      </top>
      <bottom/>
      <diagonal/>
    </border>
    <border>
      <left style="thin">
        <color rgb="FFC00000"/>
      </left>
      <right/>
      <top/>
      <bottom style="medium">
        <color rgb="FFC00000"/>
      </bottom>
      <diagonal/>
    </border>
    <border>
      <left style="medium">
        <color rgb="FFC00000"/>
      </left>
      <right/>
      <top style="thin">
        <color rgb="FFC00000"/>
      </top>
      <bottom/>
      <diagonal/>
    </border>
    <border>
      <left/>
      <right/>
      <top style="thin">
        <color rgb="FFC00000"/>
      </top>
      <bottom/>
      <diagonal/>
    </border>
    <border>
      <left/>
      <right style="medium">
        <color rgb="FFC00000"/>
      </right>
      <top style="thin">
        <color rgb="FFC00000"/>
      </top>
      <bottom/>
      <diagonal/>
    </border>
  </borders>
  <cellStyleXfs count="1">
    <xf numFmtId="0" fontId="0" fillId="0" borderId="0"/>
  </cellStyleXfs>
  <cellXfs count="260">
    <xf numFmtId="0" fontId="0" fillId="0" borderId="0" xfId="0"/>
    <xf numFmtId="0" fontId="0" fillId="0" borderId="0" xfId="0" applyAlignment="1">
      <alignment horizontal="center"/>
    </xf>
    <xf numFmtId="0" fontId="0" fillId="5" borderId="18" xfId="0" applyFill="1" applyBorder="1"/>
    <xf numFmtId="0" fontId="0" fillId="5" borderId="17" xfId="0" applyFill="1" applyBorder="1" applyAlignment="1">
      <alignment horizontal="center"/>
    </xf>
    <xf numFmtId="0" fontId="0" fillId="5" borderId="17" xfId="0" applyFill="1" applyBorder="1"/>
    <xf numFmtId="0" fontId="0" fillId="5" borderId="0" xfId="0" applyFill="1" applyAlignment="1">
      <alignment horizontal="center"/>
    </xf>
    <xf numFmtId="0" fontId="0" fillId="5" borderId="26" xfId="0" applyFill="1" applyBorder="1"/>
    <xf numFmtId="0" fontId="0" fillId="5" borderId="27" xfId="0" applyFill="1" applyBorder="1" applyAlignment="1">
      <alignment horizontal="center"/>
    </xf>
    <xf numFmtId="0" fontId="0" fillId="5" borderId="28" xfId="0" applyFill="1" applyBorder="1" applyAlignment="1">
      <alignment horizontal="center"/>
    </xf>
    <xf numFmtId="0" fontId="0" fillId="5" borderId="29" xfId="0" applyFill="1" applyBorder="1"/>
    <xf numFmtId="0" fontId="0" fillId="5" borderId="30" xfId="0" applyFill="1" applyBorder="1"/>
    <xf numFmtId="0" fontId="0" fillId="5" borderId="32" xfId="0" applyFill="1" applyBorder="1" applyAlignment="1">
      <alignment horizontal="center"/>
    </xf>
    <xf numFmtId="0" fontId="0" fillId="5" borderId="33" xfId="0" applyFill="1" applyBorder="1" applyAlignment="1">
      <alignment horizontal="center"/>
    </xf>
    <xf numFmtId="0" fontId="0" fillId="5" borderId="34" xfId="0" applyFill="1" applyBorder="1" applyAlignment="1">
      <alignment horizontal="center"/>
    </xf>
    <xf numFmtId="0" fontId="0" fillId="5" borderId="22" xfId="0" applyFill="1" applyBorder="1"/>
    <xf numFmtId="0" fontId="0" fillId="5" borderId="35" xfId="0" applyFill="1" applyBorder="1" applyAlignment="1">
      <alignment horizontal="center"/>
    </xf>
    <xf numFmtId="0" fontId="0" fillId="5" borderId="36" xfId="0" applyFill="1" applyBorder="1" applyAlignment="1">
      <alignment horizontal="center"/>
    </xf>
    <xf numFmtId="0" fontId="0" fillId="4" borderId="37" xfId="0" applyFill="1" applyBorder="1"/>
    <xf numFmtId="0" fontId="0" fillId="4" borderId="25" xfId="0" applyFill="1" applyBorder="1" applyAlignment="1">
      <alignment horizontal="center"/>
    </xf>
    <xf numFmtId="0" fontId="1" fillId="6" borderId="26" xfId="0" applyFont="1" applyFill="1" applyBorder="1" applyAlignment="1">
      <alignment horizontal="center" wrapText="1"/>
    </xf>
    <xf numFmtId="0" fontId="1" fillId="6" borderId="31" xfId="0" applyFont="1" applyFill="1" applyBorder="1" applyAlignment="1">
      <alignment horizontal="center" wrapText="1"/>
    </xf>
    <xf numFmtId="0" fontId="1" fillId="6" borderId="21" xfId="0" applyFont="1" applyFill="1" applyBorder="1" applyAlignment="1">
      <alignment horizontal="center" wrapText="1"/>
    </xf>
    <xf numFmtId="0" fontId="0" fillId="4" borderId="0" xfId="0" applyFill="1" applyAlignment="1">
      <alignment horizontal="center"/>
    </xf>
    <xf numFmtId="0" fontId="0" fillId="5" borderId="38" xfId="0" applyFill="1" applyBorder="1"/>
    <xf numFmtId="0" fontId="0" fillId="5" borderId="39" xfId="0" applyFill="1" applyBorder="1"/>
    <xf numFmtId="0" fontId="0" fillId="5" borderId="40" xfId="0" applyFill="1" applyBorder="1" applyAlignment="1">
      <alignment horizontal="center"/>
    </xf>
    <xf numFmtId="0" fontId="0" fillId="5" borderId="48" xfId="0" applyFill="1" applyBorder="1"/>
    <xf numFmtId="0" fontId="0" fillId="0" borderId="46" xfId="0" applyBorder="1"/>
    <xf numFmtId="0" fontId="0" fillId="5" borderId="49" xfId="0" applyFill="1" applyBorder="1"/>
    <xf numFmtId="0" fontId="0" fillId="5" borderId="47" xfId="0" applyFill="1" applyBorder="1" applyAlignment="1">
      <alignment horizontal="center"/>
    </xf>
    <xf numFmtId="0" fontId="3" fillId="0" borderId="0" xfId="0" applyFont="1"/>
    <xf numFmtId="0" fontId="3" fillId="3" borderId="2" xfId="0" applyFont="1" applyFill="1" applyBorder="1" applyAlignment="1">
      <alignment horizontal="center" vertical="center"/>
    </xf>
    <xf numFmtId="0" fontId="3" fillId="3" borderId="11" xfId="0" applyFont="1" applyFill="1" applyBorder="1" applyAlignment="1">
      <alignment horizontal="center" vertical="center"/>
    </xf>
    <xf numFmtId="0" fontId="2" fillId="7" borderId="55" xfId="0" applyFont="1" applyFill="1" applyBorder="1"/>
    <xf numFmtId="0" fontId="2" fillId="7" borderId="54" xfId="0" applyFont="1" applyFill="1" applyBorder="1" applyAlignment="1">
      <alignment horizontal="center"/>
    </xf>
    <xf numFmtId="0" fontId="3" fillId="7" borderId="2" xfId="0" applyFont="1" applyFill="1" applyBorder="1" applyAlignment="1">
      <alignment horizontal="center" vertical="center"/>
    </xf>
    <xf numFmtId="0" fontId="3" fillId="7" borderId="0" xfId="0" applyFont="1" applyFill="1" applyAlignment="1">
      <alignment horizontal="center"/>
    </xf>
    <xf numFmtId="0" fontId="3" fillId="7" borderId="7" xfId="0" applyFont="1" applyFill="1" applyBorder="1"/>
    <xf numFmtId="0" fontId="3" fillId="7" borderId="8" xfId="0" applyFont="1" applyFill="1" applyBorder="1" applyAlignment="1">
      <alignment horizontal="center"/>
    </xf>
    <xf numFmtId="0" fontId="3" fillId="7" borderId="12" xfId="0" applyFont="1" applyFill="1" applyBorder="1"/>
    <xf numFmtId="0" fontId="3" fillId="7" borderId="4" xfId="0" applyFont="1" applyFill="1" applyBorder="1"/>
    <xf numFmtId="0" fontId="3" fillId="7" borderId="0" xfId="0" applyFont="1" applyFill="1"/>
    <xf numFmtId="0" fontId="10" fillId="0" borderId="0" xfId="0" applyFont="1"/>
    <xf numFmtId="0" fontId="5" fillId="2" borderId="56" xfId="0" applyFont="1" applyFill="1" applyBorder="1" applyAlignment="1">
      <alignment horizontal="left"/>
    </xf>
    <xf numFmtId="0" fontId="2" fillId="7" borderId="3" xfId="0" applyFont="1" applyFill="1" applyBorder="1"/>
    <xf numFmtId="0" fontId="2" fillId="7" borderId="12" xfId="0" applyFont="1" applyFill="1" applyBorder="1"/>
    <xf numFmtId="0" fontId="2" fillId="7" borderId="8" xfId="0" applyFont="1" applyFill="1" applyBorder="1"/>
    <xf numFmtId="0" fontId="2" fillId="7" borderId="0" xfId="0" applyFont="1" applyFill="1"/>
    <xf numFmtId="0" fontId="2" fillId="7" borderId="1" xfId="0" applyFont="1" applyFill="1" applyBorder="1" applyAlignment="1">
      <alignment horizontal="left"/>
    </xf>
    <xf numFmtId="0" fontId="3" fillId="7" borderId="8" xfId="0" applyFont="1" applyFill="1" applyBorder="1"/>
    <xf numFmtId="0" fontId="3" fillId="7" borderId="3" xfId="0" applyFont="1" applyFill="1" applyBorder="1" applyAlignment="1">
      <alignment horizontal="center"/>
    </xf>
    <xf numFmtId="0" fontId="3" fillId="7" borderId="12" xfId="0" applyFont="1" applyFill="1" applyBorder="1" applyAlignment="1">
      <alignment horizontal="center"/>
    </xf>
    <xf numFmtId="0" fontId="3" fillId="7" borderId="4" xfId="0" applyFont="1" applyFill="1" applyBorder="1" applyAlignment="1">
      <alignment horizontal="center"/>
    </xf>
    <xf numFmtId="0" fontId="3" fillId="7" borderId="7" xfId="0" applyFont="1" applyFill="1" applyBorder="1" applyAlignment="1">
      <alignment horizontal="center"/>
    </xf>
    <xf numFmtId="0" fontId="2" fillId="3" borderId="2" xfId="0" applyFont="1" applyFill="1" applyBorder="1" applyAlignment="1">
      <alignment horizontal="center" vertical="center"/>
    </xf>
    <xf numFmtId="0" fontId="13" fillId="0" borderId="0" xfId="0" applyFont="1" applyAlignment="1">
      <alignment vertical="center"/>
    </xf>
    <xf numFmtId="0" fontId="0" fillId="7" borderId="12" xfId="0" applyFill="1" applyBorder="1" applyAlignment="1">
      <alignment horizontal="left"/>
    </xf>
    <xf numFmtId="0" fontId="0" fillId="7" borderId="4" xfId="0" applyFill="1" applyBorder="1" applyAlignment="1">
      <alignment horizontal="left"/>
    </xf>
    <xf numFmtId="0" fontId="14" fillId="0" borderId="9" xfId="0" applyFont="1" applyBorder="1" applyAlignment="1">
      <alignment horizontal="center" vertical="center"/>
    </xf>
    <xf numFmtId="0" fontId="16" fillId="7" borderId="8" xfId="0" applyFont="1" applyFill="1" applyBorder="1"/>
    <xf numFmtId="0" fontId="12" fillId="7" borderId="8" xfId="0" applyFont="1" applyFill="1" applyBorder="1"/>
    <xf numFmtId="0" fontId="12" fillId="7" borderId="0" xfId="0" applyFont="1" applyFill="1"/>
    <xf numFmtId="0" fontId="12" fillId="7" borderId="7" xfId="0" applyFont="1" applyFill="1" applyBorder="1"/>
    <xf numFmtId="0" fontId="0" fillId="7" borderId="12" xfId="0" applyFill="1" applyBorder="1" applyAlignment="1">
      <alignment horizontal="left" vertical="center"/>
    </xf>
    <xf numFmtId="0" fontId="12" fillId="7" borderId="3" xfId="0" applyFont="1" applyFill="1" applyBorder="1" applyAlignment="1">
      <alignment vertical="center"/>
    </xf>
    <xf numFmtId="0" fontId="2" fillId="7" borderId="3" xfId="0" applyFont="1" applyFill="1" applyBorder="1" applyAlignment="1">
      <alignment horizontal="center" vertical="center"/>
    </xf>
    <xf numFmtId="0" fontId="2" fillId="7" borderId="3" xfId="0" applyFont="1" applyFill="1" applyBorder="1" applyAlignment="1">
      <alignment vertical="center"/>
    </xf>
    <xf numFmtId="0" fontId="2" fillId="7" borderId="12" xfId="0" applyFont="1" applyFill="1" applyBorder="1" applyAlignment="1">
      <alignment vertical="center"/>
    </xf>
    <xf numFmtId="0" fontId="2" fillId="7" borderId="4" xfId="0" applyFont="1" applyFill="1" applyBorder="1" applyAlignment="1">
      <alignment vertical="center"/>
    </xf>
    <xf numFmtId="0" fontId="2" fillId="7" borderId="43" xfId="0" applyFont="1" applyFill="1" applyBorder="1" applyAlignment="1">
      <alignment vertical="center"/>
    </xf>
    <xf numFmtId="0" fontId="3" fillId="7" borderId="51" xfId="0" applyFont="1" applyFill="1" applyBorder="1" applyAlignment="1">
      <alignment vertical="center" wrapText="1"/>
    </xf>
    <xf numFmtId="0" fontId="3" fillId="7" borderId="52" xfId="0" applyFont="1" applyFill="1" applyBorder="1" applyAlignment="1">
      <alignment vertical="center" wrapText="1"/>
    </xf>
    <xf numFmtId="0" fontId="20" fillId="0" borderId="0" xfId="0" applyFont="1"/>
    <xf numFmtId="0" fontId="19" fillId="7" borderId="44" xfId="0" applyFont="1" applyFill="1" applyBorder="1" applyAlignment="1">
      <alignment horizontal="center" vertical="center"/>
    </xf>
    <xf numFmtId="0" fontId="19" fillId="7" borderId="41" xfId="0" applyFont="1" applyFill="1" applyBorder="1" applyAlignment="1">
      <alignment horizontal="center" vertical="center"/>
    </xf>
    <xf numFmtId="0" fontId="19" fillId="7" borderId="45" xfId="0" applyFont="1" applyFill="1" applyBorder="1" applyAlignment="1">
      <alignment horizontal="center" vertical="center"/>
    </xf>
    <xf numFmtId="0" fontId="19" fillId="7" borderId="5" xfId="0" applyFont="1" applyFill="1" applyBorder="1" applyAlignment="1">
      <alignment horizontal="center" vertical="center"/>
    </xf>
    <xf numFmtId="0" fontId="19" fillId="7" borderId="13" xfId="0" applyFont="1" applyFill="1" applyBorder="1" applyAlignment="1">
      <alignment horizontal="center" vertical="center"/>
    </xf>
    <xf numFmtId="0" fontId="19" fillId="7" borderId="19" xfId="0" applyFont="1" applyFill="1" applyBorder="1" applyAlignment="1">
      <alignment horizontal="center" vertical="center"/>
    </xf>
    <xf numFmtId="0" fontId="3" fillId="7" borderId="8" xfId="0" applyFont="1" applyFill="1" applyBorder="1" applyAlignment="1">
      <alignment horizontal="center"/>
    </xf>
    <xf numFmtId="0" fontId="3" fillId="7" borderId="0" xfId="0" applyFont="1" applyFill="1" applyAlignment="1">
      <alignment horizontal="center"/>
    </xf>
    <xf numFmtId="0" fontId="3" fillId="7" borderId="7" xfId="0" applyFont="1" applyFill="1" applyBorder="1" applyAlignment="1">
      <alignment horizontal="center"/>
    </xf>
    <xf numFmtId="0" fontId="2" fillId="7" borderId="14" xfId="0" applyFont="1" applyFill="1" applyBorder="1"/>
    <xf numFmtId="0" fontId="2" fillId="7" borderId="15" xfId="0" applyFont="1" applyFill="1" applyBorder="1"/>
    <xf numFmtId="0" fontId="2" fillId="7" borderId="16" xfId="0" applyFont="1" applyFill="1" applyBorder="1"/>
    <xf numFmtId="0" fontId="2" fillId="7" borderId="3" xfId="0" applyFont="1" applyFill="1" applyBorder="1" applyAlignment="1">
      <alignment horizontal="center"/>
    </xf>
    <xf numFmtId="0" fontId="2" fillId="7" borderId="12" xfId="0" applyFont="1" applyFill="1" applyBorder="1" applyAlignment="1">
      <alignment horizontal="center"/>
    </xf>
    <xf numFmtId="0" fontId="2" fillId="7" borderId="4" xfId="0" applyFont="1" applyFill="1" applyBorder="1" applyAlignment="1">
      <alignment horizontal="center"/>
    </xf>
    <xf numFmtId="0" fontId="3" fillId="7" borderId="53" xfId="0" applyFont="1" applyFill="1" applyBorder="1" applyAlignment="1">
      <alignment horizontal="right" vertical="center"/>
    </xf>
    <xf numFmtId="0" fontId="3" fillId="7" borderId="51" xfId="0" applyFont="1" applyFill="1" applyBorder="1" applyAlignment="1">
      <alignment horizontal="right" vertical="center"/>
    </xf>
    <xf numFmtId="0" fontId="3" fillId="7" borderId="51" xfId="0" applyFont="1" applyFill="1" applyBorder="1" applyAlignment="1">
      <alignment horizontal="left" vertical="center" wrapText="1"/>
    </xf>
    <xf numFmtId="0" fontId="3" fillId="7" borderId="52" xfId="0" applyFont="1" applyFill="1" applyBorder="1" applyAlignment="1">
      <alignment horizontal="left" vertical="center" wrapText="1"/>
    </xf>
    <xf numFmtId="0" fontId="3" fillId="7" borderId="5" xfId="0" applyFont="1" applyFill="1" applyBorder="1" applyAlignment="1">
      <alignment horizontal="center" wrapText="1"/>
    </xf>
    <xf numFmtId="0" fontId="3" fillId="7" borderId="13" xfId="0" applyFont="1" applyFill="1" applyBorder="1" applyAlignment="1">
      <alignment horizontal="center" wrapText="1"/>
    </xf>
    <xf numFmtId="0" fontId="3" fillId="7" borderId="6" xfId="0" applyFont="1" applyFill="1" applyBorder="1" applyAlignment="1">
      <alignment horizontal="center" wrapText="1"/>
    </xf>
    <xf numFmtId="0" fontId="13" fillId="0" borderId="20" xfId="0" applyFont="1" applyBorder="1" applyAlignment="1">
      <alignment horizontal="left" vertical="center"/>
    </xf>
    <xf numFmtId="0" fontId="13" fillId="0" borderId="10" xfId="0" applyFont="1" applyBorder="1" applyAlignment="1">
      <alignment horizontal="left" vertical="center"/>
    </xf>
    <xf numFmtId="0" fontId="3" fillId="7" borderId="8" xfId="0" applyFont="1" applyFill="1" applyBorder="1" applyAlignment="1">
      <alignment horizontal="left"/>
    </xf>
    <xf numFmtId="0" fontId="3" fillId="7" borderId="0" xfId="0" applyFont="1" applyFill="1" applyAlignment="1">
      <alignment horizontal="left"/>
    </xf>
    <xf numFmtId="0" fontId="3" fillId="7" borderId="7" xfId="0" applyFont="1" applyFill="1" applyBorder="1" applyAlignment="1">
      <alignment horizontal="left"/>
    </xf>
    <xf numFmtId="0" fontId="3" fillId="7" borderId="44" xfId="0" applyFont="1" applyFill="1" applyBorder="1" applyAlignment="1">
      <alignment horizontal="center"/>
    </xf>
    <xf numFmtId="0" fontId="3" fillId="7" borderId="41" xfId="0" applyFont="1" applyFill="1" applyBorder="1" applyAlignment="1">
      <alignment horizontal="center"/>
    </xf>
    <xf numFmtId="0" fontId="3" fillId="7" borderId="45" xfId="0" applyFont="1" applyFill="1" applyBorder="1" applyAlignment="1">
      <alignment horizontal="center"/>
    </xf>
    <xf numFmtId="0" fontId="3" fillId="7" borderId="5" xfId="0" applyFont="1" applyFill="1" applyBorder="1" applyAlignment="1">
      <alignment horizontal="center"/>
    </xf>
    <xf numFmtId="0" fontId="3" fillId="7" borderId="13" xfId="0" applyFont="1" applyFill="1" applyBorder="1" applyAlignment="1">
      <alignment horizontal="center"/>
    </xf>
    <xf numFmtId="0" fontId="3" fillId="7" borderId="6" xfId="0" applyFont="1" applyFill="1" applyBorder="1" applyAlignment="1">
      <alignment horizontal="center"/>
    </xf>
    <xf numFmtId="0" fontId="3" fillId="7" borderId="8" xfId="0" applyFont="1" applyFill="1" applyBorder="1"/>
    <xf numFmtId="0" fontId="3" fillId="7" borderId="0" xfId="0" applyFont="1" applyFill="1"/>
    <xf numFmtId="0" fontId="3" fillId="7" borderId="7" xfId="0" applyFont="1" applyFill="1" applyBorder="1"/>
    <xf numFmtId="0" fontId="3" fillId="7" borderId="0" xfId="0" applyFont="1" applyFill="1" applyAlignment="1">
      <alignment horizontal="left" vertical="top" wrapText="1"/>
    </xf>
    <xf numFmtId="0" fontId="3" fillId="7" borderId="7" xfId="0" applyFont="1" applyFill="1" applyBorder="1" applyAlignment="1">
      <alignment horizontal="left" vertical="top" wrapText="1"/>
    </xf>
    <xf numFmtId="0" fontId="3" fillId="7" borderId="5" xfId="0" applyFont="1" applyFill="1" applyBorder="1"/>
    <xf numFmtId="0" fontId="3" fillId="7" borderId="13" xfId="0" applyFont="1" applyFill="1" applyBorder="1"/>
    <xf numFmtId="0" fontId="3" fillId="7" borderId="6" xfId="0" applyFont="1" applyFill="1" applyBorder="1"/>
    <xf numFmtId="0" fontId="6" fillId="0" borderId="0" xfId="0" applyFont="1" applyAlignment="1">
      <alignment horizontal="center" vertical="center"/>
    </xf>
    <xf numFmtId="0" fontId="6" fillId="0" borderId="13" xfId="0" applyFont="1" applyBorder="1" applyAlignment="1">
      <alignment horizontal="center" vertical="center"/>
    </xf>
    <xf numFmtId="0" fontId="3" fillId="7" borderId="8" xfId="0" applyFont="1" applyFill="1" applyBorder="1" applyAlignment="1">
      <alignment horizontal="left" wrapText="1"/>
    </xf>
    <xf numFmtId="0" fontId="3" fillId="7" borderId="0" xfId="0" applyFont="1" applyFill="1" applyAlignment="1">
      <alignment horizontal="left" wrapText="1"/>
    </xf>
    <xf numFmtId="0" fontId="3" fillId="7" borderId="4" xfId="0" applyFont="1" applyFill="1" applyBorder="1" applyAlignment="1">
      <alignment horizontal="left" wrapText="1"/>
    </xf>
    <xf numFmtId="0" fontId="10" fillId="7" borderId="5" xfId="0" applyFont="1" applyFill="1" applyBorder="1" applyAlignment="1">
      <alignment horizontal="center"/>
    </xf>
    <xf numFmtId="0" fontId="10" fillId="7" borderId="13" xfId="0" applyFont="1" applyFill="1" applyBorder="1" applyAlignment="1">
      <alignment horizontal="center"/>
    </xf>
    <xf numFmtId="0" fontId="10" fillId="7" borderId="6" xfId="0" applyFont="1" applyFill="1" applyBorder="1" applyAlignment="1">
      <alignment horizontal="center"/>
    </xf>
    <xf numFmtId="0" fontId="8" fillId="2" borderId="11" xfId="0" applyFont="1" applyFill="1" applyBorder="1" applyAlignment="1">
      <alignment horizontal="center" vertical="center" textRotation="90"/>
    </xf>
    <xf numFmtId="0" fontId="8" fillId="2" borderId="2" xfId="0" applyFont="1" applyFill="1" applyBorder="1" applyAlignment="1">
      <alignment horizontal="center" vertical="center" textRotation="90"/>
    </xf>
    <xf numFmtId="0" fontId="11" fillId="0" borderId="0" xfId="0" applyFont="1" applyAlignment="1">
      <alignment horizontal="center" vertical="center"/>
    </xf>
    <xf numFmtId="0" fontId="11" fillId="0" borderId="13" xfId="0" applyFont="1" applyBorder="1" applyAlignment="1">
      <alignment horizontal="center" vertical="center"/>
    </xf>
    <xf numFmtId="0" fontId="9" fillId="2" borderId="11" xfId="0" applyFont="1" applyFill="1" applyBorder="1" applyAlignment="1">
      <alignment horizontal="center" vertical="center"/>
    </xf>
    <xf numFmtId="0" fontId="9" fillId="2" borderId="2"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6" xfId="0" applyFont="1" applyFill="1" applyBorder="1" applyAlignment="1">
      <alignment horizontal="center" vertical="center"/>
    </xf>
    <xf numFmtId="0" fontId="7" fillId="2" borderId="9" xfId="0" applyFont="1" applyFill="1" applyBorder="1" applyAlignment="1">
      <alignment horizontal="left"/>
    </xf>
    <xf numFmtId="0" fontId="7" fillId="2" borderId="20" xfId="0" applyFont="1" applyFill="1" applyBorder="1" applyAlignment="1">
      <alignment horizontal="left"/>
    </xf>
    <xf numFmtId="0" fontId="7" fillId="2" borderId="10" xfId="0" applyFont="1" applyFill="1" applyBorder="1" applyAlignment="1">
      <alignment horizontal="left"/>
    </xf>
    <xf numFmtId="0" fontId="9" fillId="2" borderId="1" xfId="0" applyFont="1" applyFill="1" applyBorder="1" applyAlignment="1">
      <alignment horizontal="center" vertical="center"/>
    </xf>
    <xf numFmtId="0" fontId="0" fillId="7" borderId="3" xfId="0" applyFill="1" applyBorder="1" applyAlignment="1">
      <alignment horizontal="center" vertical="center"/>
    </xf>
    <xf numFmtId="0" fontId="0" fillId="7" borderId="4" xfId="0" applyFill="1" applyBorder="1" applyAlignment="1">
      <alignment horizontal="center" vertical="center"/>
    </xf>
    <xf numFmtId="0" fontId="0" fillId="7" borderId="5" xfId="0" applyFill="1" applyBorder="1" applyAlignment="1">
      <alignment horizontal="center" vertical="center"/>
    </xf>
    <xf numFmtId="0" fontId="0" fillId="7" borderId="6" xfId="0" applyFill="1" applyBorder="1" applyAlignment="1">
      <alignment horizontal="center" vertical="center"/>
    </xf>
    <xf numFmtId="0" fontId="2" fillId="7" borderId="14" xfId="0" applyFont="1" applyFill="1" applyBorder="1" applyAlignment="1">
      <alignment horizontal="left"/>
    </xf>
    <xf numFmtId="0" fontId="2" fillId="7" borderId="15" xfId="0" applyFont="1" applyFill="1" applyBorder="1" applyAlignment="1">
      <alignment horizontal="left"/>
    </xf>
    <xf numFmtId="0" fontId="2" fillId="7" borderId="16" xfId="0" applyFont="1" applyFill="1" applyBorder="1" applyAlignment="1">
      <alignment horizontal="left"/>
    </xf>
    <xf numFmtId="0" fontId="3" fillId="0" borderId="0" xfId="0" applyFont="1" applyAlignment="1">
      <alignment horizontal="center"/>
    </xf>
    <xf numFmtId="0" fontId="0" fillId="7" borderId="12" xfId="0" applyFill="1" applyBorder="1" applyAlignment="1">
      <alignment horizontal="center" vertical="center"/>
    </xf>
    <xf numFmtId="0" fontId="0" fillId="7" borderId="3" xfId="0" applyFill="1" applyBorder="1" applyAlignment="1">
      <alignment horizontal="center"/>
    </xf>
    <xf numFmtId="0" fontId="0" fillId="7" borderId="12" xfId="0" applyFill="1" applyBorder="1" applyAlignment="1">
      <alignment horizontal="center"/>
    </xf>
    <xf numFmtId="0" fontId="0" fillId="7" borderId="4" xfId="0" applyFill="1" applyBorder="1" applyAlignment="1">
      <alignment horizontal="center"/>
    </xf>
    <xf numFmtId="0" fontId="5" fillId="2" borderId="8" xfId="0" applyFont="1" applyFill="1" applyBorder="1" applyAlignment="1">
      <alignment horizontal="center" wrapText="1"/>
    </xf>
    <xf numFmtId="0" fontId="5" fillId="2" borderId="0" xfId="0" applyFont="1" applyFill="1" applyAlignment="1">
      <alignment horizontal="center" wrapText="1"/>
    </xf>
    <xf numFmtId="0" fontId="5" fillId="2" borderId="5" xfId="0" applyFont="1" applyFill="1" applyBorder="1" applyAlignment="1">
      <alignment horizontal="center" wrapText="1"/>
    </xf>
    <xf numFmtId="0" fontId="5" fillId="2" borderId="13" xfId="0" applyFont="1" applyFill="1" applyBorder="1" applyAlignment="1">
      <alignment horizontal="center" wrapText="1"/>
    </xf>
    <xf numFmtId="0" fontId="5" fillId="2" borderId="7" xfId="0" applyFont="1" applyFill="1" applyBorder="1" applyAlignment="1">
      <alignment horizontal="center" wrapText="1"/>
    </xf>
    <xf numFmtId="0" fontId="5" fillId="2" borderId="6" xfId="0" applyFont="1" applyFill="1" applyBorder="1" applyAlignment="1">
      <alignment horizontal="center" wrapText="1"/>
    </xf>
    <xf numFmtId="0" fontId="2" fillId="3" borderId="1" xfId="0" applyFont="1" applyFill="1" applyBorder="1" applyAlignment="1">
      <alignment horizontal="center" wrapText="1"/>
    </xf>
    <xf numFmtId="0" fontId="2" fillId="3" borderId="42" xfId="0" applyFont="1" applyFill="1" applyBorder="1" applyAlignment="1">
      <alignment horizontal="center" wrapText="1"/>
    </xf>
    <xf numFmtId="0" fontId="2" fillId="7" borderId="4" xfId="0" applyFont="1" applyFill="1" applyBorder="1" applyAlignment="1">
      <alignment horizontal="center" vertical="center"/>
    </xf>
    <xf numFmtId="0" fontId="2" fillId="7" borderId="6" xfId="0" applyFont="1" applyFill="1" applyBorder="1" applyAlignment="1">
      <alignment horizontal="center" vertical="center"/>
    </xf>
    <xf numFmtId="0" fontId="3" fillId="7" borderId="53" xfId="0" applyFont="1" applyFill="1" applyBorder="1" applyAlignment="1">
      <alignment horizontal="right" wrapText="1"/>
    </xf>
    <xf numFmtId="0" fontId="3" fillId="7" borderId="51" xfId="0" applyFont="1" applyFill="1" applyBorder="1" applyAlignment="1">
      <alignment horizontal="right" wrapText="1"/>
    </xf>
    <xf numFmtId="0" fontId="3" fillId="7" borderId="5" xfId="0" applyFont="1" applyFill="1" applyBorder="1" applyAlignment="1">
      <alignment horizontal="left" wrapText="1"/>
    </xf>
    <xf numFmtId="0" fontId="3" fillId="7" borderId="13" xfId="0" applyFont="1" applyFill="1" applyBorder="1" applyAlignment="1">
      <alignment horizontal="left" wrapText="1"/>
    </xf>
    <xf numFmtId="0" fontId="3" fillId="7" borderId="6" xfId="0" applyFont="1" applyFill="1" applyBorder="1" applyAlignment="1">
      <alignment horizontal="left" wrapText="1"/>
    </xf>
    <xf numFmtId="0" fontId="2" fillId="7" borderId="5" xfId="0" applyFont="1" applyFill="1" applyBorder="1" applyAlignment="1">
      <alignment horizontal="left" wrapText="1"/>
    </xf>
    <xf numFmtId="0" fontId="2" fillId="7" borderId="13" xfId="0" applyFont="1" applyFill="1" applyBorder="1" applyAlignment="1">
      <alignment horizontal="left" wrapText="1"/>
    </xf>
    <xf numFmtId="0" fontId="3" fillId="7" borderId="7" xfId="0" applyFont="1" applyFill="1" applyBorder="1" applyAlignment="1">
      <alignment horizontal="left" wrapText="1"/>
    </xf>
    <xf numFmtId="0" fontId="5" fillId="2" borderId="3" xfId="0" applyFont="1" applyFill="1" applyBorder="1" applyAlignment="1">
      <alignment horizontal="center"/>
    </xf>
    <xf numFmtId="0" fontId="5" fillId="2" borderId="12" xfId="0" applyFont="1" applyFill="1" applyBorder="1" applyAlignment="1">
      <alignment horizontal="center"/>
    </xf>
    <xf numFmtId="0" fontId="5" fillId="2" borderId="4" xfId="0" applyFont="1" applyFill="1" applyBorder="1" applyAlignment="1">
      <alignment horizontal="center"/>
    </xf>
    <xf numFmtId="0" fontId="2" fillId="7" borderId="14" xfId="0" applyFont="1" applyFill="1" applyBorder="1" applyAlignment="1">
      <alignment horizontal="left" wrapText="1"/>
    </xf>
    <xf numFmtId="0" fontId="2" fillId="7" borderId="15" xfId="0" applyFont="1" applyFill="1" applyBorder="1" applyAlignment="1">
      <alignment horizontal="left" wrapText="1"/>
    </xf>
    <xf numFmtId="0" fontId="2" fillId="7" borderId="16" xfId="0" applyFont="1" applyFill="1" applyBorder="1" applyAlignment="1">
      <alignment horizontal="left" wrapText="1"/>
    </xf>
    <xf numFmtId="0" fontId="2" fillId="7" borderId="3" xfId="0" applyFont="1" applyFill="1" applyBorder="1" applyAlignment="1">
      <alignment horizontal="left" vertical="center"/>
    </xf>
    <xf numFmtId="0" fontId="2" fillId="7" borderId="12" xfId="0" applyFont="1" applyFill="1" applyBorder="1" applyAlignment="1">
      <alignment horizontal="left" vertical="center"/>
    </xf>
    <xf numFmtId="0" fontId="2" fillId="7" borderId="4" xfId="0" applyFont="1" applyFill="1" applyBorder="1" applyAlignment="1">
      <alignment horizontal="left" vertical="center"/>
    </xf>
    <xf numFmtId="0" fontId="3" fillId="7" borderId="62" xfId="0" applyFont="1" applyFill="1" applyBorder="1"/>
    <xf numFmtId="0" fontId="3" fillId="7" borderId="63" xfId="0" applyFont="1" applyFill="1" applyBorder="1"/>
    <xf numFmtId="0" fontId="3" fillId="7" borderId="64" xfId="0" applyFont="1" applyFill="1" applyBorder="1"/>
    <xf numFmtId="0" fontId="3" fillId="7" borderId="3" xfId="0" applyFont="1" applyFill="1" applyBorder="1" applyAlignment="1">
      <alignment horizontal="left"/>
    </xf>
    <xf numFmtId="0" fontId="3" fillId="7" borderId="12" xfId="0" applyFont="1" applyFill="1" applyBorder="1" applyAlignment="1">
      <alignment horizontal="left"/>
    </xf>
    <xf numFmtId="0" fontId="3" fillId="7" borderId="4" xfId="0" applyFont="1" applyFill="1" applyBorder="1" applyAlignment="1">
      <alignment horizontal="left"/>
    </xf>
    <xf numFmtId="0" fontId="15" fillId="7" borderId="8" xfId="0" applyFont="1" applyFill="1" applyBorder="1" applyAlignment="1">
      <alignment horizontal="center"/>
    </xf>
    <xf numFmtId="0" fontId="15" fillId="7" borderId="0" xfId="0" applyFont="1" applyFill="1" applyAlignment="1">
      <alignment horizontal="center"/>
    </xf>
    <xf numFmtId="0" fontId="15" fillId="7" borderId="7" xfId="0" applyFont="1" applyFill="1" applyBorder="1" applyAlignment="1">
      <alignment horizontal="center"/>
    </xf>
    <xf numFmtId="0" fontId="3" fillId="7" borderId="57" xfId="0" applyFont="1" applyFill="1" applyBorder="1" applyAlignment="1">
      <alignment horizontal="left"/>
    </xf>
    <xf numFmtId="0" fontId="3" fillId="7" borderId="10" xfId="0" applyFont="1" applyFill="1" applyBorder="1" applyAlignment="1">
      <alignment horizontal="left"/>
    </xf>
    <xf numFmtId="0" fontId="2" fillId="7" borderId="58" xfId="0" applyFont="1" applyFill="1" applyBorder="1" applyAlignment="1">
      <alignment horizontal="left" vertical="top"/>
    </xf>
    <xf numFmtId="0" fontId="2" fillId="7" borderId="59" xfId="0" applyFont="1" applyFill="1" applyBorder="1" applyAlignment="1">
      <alignment horizontal="left" vertical="top"/>
    </xf>
    <xf numFmtId="0" fontId="3" fillId="7" borderId="60" xfId="0" applyFont="1" applyFill="1" applyBorder="1" applyAlignment="1">
      <alignment horizontal="left" vertical="top"/>
    </xf>
    <xf numFmtId="0" fontId="3" fillId="7" borderId="4" xfId="0" applyFont="1" applyFill="1" applyBorder="1" applyAlignment="1">
      <alignment horizontal="left" vertical="top"/>
    </xf>
    <xf numFmtId="0" fontId="3" fillId="7" borderId="61" xfId="0" applyFont="1" applyFill="1" applyBorder="1" applyAlignment="1">
      <alignment horizontal="left" vertical="top"/>
    </xf>
    <xf numFmtId="0" fontId="3" fillId="7" borderId="6" xfId="0" applyFont="1" applyFill="1" applyBorder="1" applyAlignment="1">
      <alignment horizontal="left" vertical="top"/>
    </xf>
    <xf numFmtId="0" fontId="18" fillId="7" borderId="8" xfId="0" applyFont="1" applyFill="1" applyBorder="1"/>
    <xf numFmtId="0" fontId="18" fillId="7" borderId="0" xfId="0" applyFont="1" applyFill="1"/>
    <xf numFmtId="0" fontId="18" fillId="7" borderId="7" xfId="0" applyFont="1" applyFill="1" applyBorder="1"/>
    <xf numFmtId="0" fontId="3" fillId="7" borderId="44" xfId="0" applyFont="1" applyFill="1" applyBorder="1"/>
    <xf numFmtId="0" fontId="3" fillId="7" borderId="41" xfId="0" applyFont="1" applyFill="1" applyBorder="1"/>
    <xf numFmtId="0" fontId="3" fillId="7" borderId="45" xfId="0" applyFont="1" applyFill="1" applyBorder="1"/>
    <xf numFmtId="0" fontId="12" fillId="7" borderId="8" xfId="0" applyFont="1" applyFill="1" applyBorder="1" applyAlignment="1">
      <alignment horizontal="left"/>
    </xf>
    <xf numFmtId="0" fontId="12" fillId="7" borderId="7" xfId="0" applyFont="1" applyFill="1" applyBorder="1" applyAlignment="1">
      <alignment horizontal="left"/>
    </xf>
    <xf numFmtId="0" fontId="0" fillId="7" borderId="44" xfId="0" applyFill="1" applyBorder="1" applyAlignment="1">
      <alignment horizontal="left" vertical="center" wrapText="1"/>
    </xf>
    <xf numFmtId="0" fontId="0" fillId="7" borderId="41" xfId="0" applyFill="1" applyBorder="1" applyAlignment="1">
      <alignment horizontal="left" vertical="center" wrapText="1"/>
    </xf>
    <xf numFmtId="0" fontId="0" fillId="7" borderId="45" xfId="0" applyFill="1" applyBorder="1" applyAlignment="1">
      <alignment horizontal="left" vertical="center" wrapText="1"/>
    </xf>
    <xf numFmtId="0" fontId="0" fillId="7" borderId="8" xfId="0" applyFill="1" applyBorder="1" applyAlignment="1">
      <alignment horizontal="left"/>
    </xf>
    <xf numFmtId="0" fontId="0" fillId="7" borderId="7" xfId="0" applyFill="1" applyBorder="1" applyAlignment="1">
      <alignment horizontal="left"/>
    </xf>
    <xf numFmtId="0" fontId="0" fillId="7" borderId="8" xfId="0" applyFill="1" applyBorder="1" applyAlignment="1">
      <alignment horizontal="left" vertical="center" wrapText="1"/>
    </xf>
    <xf numFmtId="0" fontId="0" fillId="7" borderId="0" xfId="0" applyFill="1" applyAlignment="1">
      <alignment horizontal="left" vertical="center" wrapText="1"/>
    </xf>
    <xf numFmtId="0" fontId="0" fillId="7" borderId="7" xfId="0" applyFill="1" applyBorder="1" applyAlignment="1">
      <alignment horizontal="left" vertical="center" wrapText="1"/>
    </xf>
    <xf numFmtId="0" fontId="12" fillId="7" borderId="62" xfId="0" applyFont="1" applyFill="1" applyBorder="1" applyAlignment="1">
      <alignment horizontal="left"/>
    </xf>
    <xf numFmtId="0" fontId="12" fillId="7" borderId="63" xfId="0" applyFont="1" applyFill="1" applyBorder="1" applyAlignment="1">
      <alignment horizontal="left"/>
    </xf>
    <xf numFmtId="0" fontId="12" fillId="7" borderId="64" xfId="0" applyFont="1" applyFill="1" applyBorder="1" applyAlignment="1">
      <alignment horizontal="left"/>
    </xf>
    <xf numFmtId="0" fontId="7" fillId="2" borderId="3" xfId="0" applyFont="1" applyFill="1" applyBorder="1" applyAlignment="1">
      <alignment horizontal="left" vertical="top"/>
    </xf>
    <xf numFmtId="0" fontId="7" fillId="2" borderId="12" xfId="0" applyFont="1" applyFill="1" applyBorder="1" applyAlignment="1">
      <alignment horizontal="left" vertical="top"/>
    </xf>
    <xf numFmtId="0" fontId="7" fillId="2" borderId="4" xfId="0" applyFont="1" applyFill="1" applyBorder="1" applyAlignment="1">
      <alignment horizontal="left" vertical="top"/>
    </xf>
    <xf numFmtId="0" fontId="0" fillId="7" borderId="8" xfId="0" applyFill="1" applyBorder="1" applyAlignment="1">
      <alignment horizontal="center"/>
    </xf>
    <xf numFmtId="0" fontId="0" fillId="7" borderId="7" xfId="0" applyFill="1" applyBorder="1" applyAlignment="1">
      <alignment horizontal="center"/>
    </xf>
    <xf numFmtId="0" fontId="12" fillId="7" borderId="3" xfId="0" applyFont="1" applyFill="1" applyBorder="1" applyAlignment="1">
      <alignment horizontal="left" vertical="top"/>
    </xf>
    <xf numFmtId="0" fontId="12" fillId="7" borderId="12" xfId="0" applyFont="1" applyFill="1" applyBorder="1" applyAlignment="1">
      <alignment horizontal="left" vertical="top"/>
    </xf>
    <xf numFmtId="0" fontId="12" fillId="7" borderId="4" xfId="0" applyFont="1" applyFill="1" applyBorder="1" applyAlignment="1">
      <alignment horizontal="left" vertical="top"/>
    </xf>
    <xf numFmtId="0" fontId="0" fillId="7" borderId="5" xfId="0" applyFill="1" applyBorder="1" applyAlignment="1">
      <alignment horizontal="left"/>
    </xf>
    <xf numFmtId="0" fontId="0" fillId="7" borderId="13" xfId="0" applyFill="1" applyBorder="1" applyAlignment="1">
      <alignment horizontal="left"/>
    </xf>
    <xf numFmtId="0" fontId="0" fillId="7" borderId="6" xfId="0" applyFill="1" applyBorder="1" applyAlignment="1">
      <alignment horizontal="left"/>
    </xf>
    <xf numFmtId="0" fontId="0" fillId="7" borderId="8" xfId="0" applyFill="1" applyBorder="1" applyAlignment="1">
      <alignment horizontal="left" wrapText="1"/>
    </xf>
    <xf numFmtId="0" fontId="0" fillId="7" borderId="7" xfId="0" applyFill="1" applyBorder="1" applyAlignment="1">
      <alignment horizontal="left" wrapText="1"/>
    </xf>
    <xf numFmtId="0" fontId="0" fillId="7" borderId="8" xfId="0" applyFill="1" applyBorder="1" applyAlignment="1">
      <alignment horizontal="left" vertical="top" wrapText="1"/>
    </xf>
    <xf numFmtId="0" fontId="0" fillId="7" borderId="7" xfId="0" applyFill="1" applyBorder="1" applyAlignment="1">
      <alignment horizontal="left" vertical="top" wrapText="1"/>
    </xf>
    <xf numFmtId="0" fontId="0" fillId="7" borderId="44" xfId="0" quotePrefix="1" applyFill="1" applyBorder="1" applyAlignment="1">
      <alignment horizontal="left"/>
    </xf>
    <xf numFmtId="0" fontId="0" fillId="7" borderId="41" xfId="0" quotePrefix="1" applyFill="1" applyBorder="1" applyAlignment="1">
      <alignment horizontal="left"/>
    </xf>
    <xf numFmtId="0" fontId="0" fillId="7" borderId="45" xfId="0" quotePrefix="1" applyFill="1" applyBorder="1" applyAlignment="1">
      <alignment horizontal="left"/>
    </xf>
    <xf numFmtId="0" fontId="12" fillId="7" borderId="62" xfId="0" applyFont="1" applyFill="1" applyBorder="1" applyAlignment="1">
      <alignment horizontal="left" vertical="center"/>
    </xf>
    <xf numFmtId="0" fontId="12" fillId="7" borderId="63" xfId="0" applyFont="1" applyFill="1" applyBorder="1" applyAlignment="1">
      <alignment horizontal="left" vertical="center"/>
    </xf>
    <xf numFmtId="0" fontId="12" fillId="7" borderId="64" xfId="0" applyFont="1" applyFill="1" applyBorder="1" applyAlignment="1">
      <alignment horizontal="left" vertical="center"/>
    </xf>
    <xf numFmtId="0" fontId="0" fillId="7" borderId="5" xfId="0" applyFill="1" applyBorder="1" applyAlignment="1">
      <alignment horizontal="left" vertical="center" wrapText="1"/>
    </xf>
    <xf numFmtId="0" fontId="0" fillId="7" borderId="13" xfId="0" applyFill="1" applyBorder="1" applyAlignment="1">
      <alignment horizontal="left" vertical="center" wrapText="1"/>
    </xf>
    <xf numFmtId="0" fontId="0" fillId="7" borderId="6" xfId="0" applyFill="1" applyBorder="1" applyAlignment="1">
      <alignment horizontal="left" vertical="center" wrapText="1"/>
    </xf>
    <xf numFmtId="0" fontId="13" fillId="0" borderId="9" xfId="0" applyFont="1" applyBorder="1" applyAlignment="1">
      <alignment vertical="top"/>
    </xf>
    <xf numFmtId="0" fontId="13" fillId="0" borderId="20" xfId="0" applyFont="1" applyBorder="1" applyAlignment="1">
      <alignment vertical="top"/>
    </xf>
    <xf numFmtId="0" fontId="13" fillId="0" borderId="10" xfId="0" applyFont="1" applyBorder="1" applyAlignment="1">
      <alignment vertical="top"/>
    </xf>
    <xf numFmtId="0" fontId="13" fillId="0" borderId="3" xfId="0" applyFont="1" applyBorder="1" applyAlignment="1">
      <alignment vertical="top"/>
    </xf>
    <xf numFmtId="0" fontId="13" fillId="0" borderId="12" xfId="0" applyFont="1" applyBorder="1" applyAlignment="1">
      <alignment vertical="top"/>
    </xf>
    <xf numFmtId="0" fontId="13" fillId="0" borderId="4" xfId="0" applyFont="1" applyBorder="1" applyAlignment="1">
      <alignment vertical="top"/>
    </xf>
    <xf numFmtId="0" fontId="12" fillId="7" borderId="8" xfId="0" applyFont="1" applyFill="1" applyBorder="1" applyAlignment="1">
      <alignment horizontal="left" vertical="top" wrapText="1"/>
    </xf>
    <xf numFmtId="0" fontId="12" fillId="7" borderId="7" xfId="0" applyFont="1" applyFill="1" applyBorder="1" applyAlignment="1">
      <alignment horizontal="left" vertical="top" wrapText="1"/>
    </xf>
    <xf numFmtId="0" fontId="0" fillId="0" borderId="9" xfId="0" quotePrefix="1" applyBorder="1" applyAlignment="1">
      <alignment horizontal="left"/>
    </xf>
    <xf numFmtId="0" fontId="0" fillId="0" borderId="10" xfId="0" quotePrefix="1" applyBorder="1" applyAlignment="1">
      <alignment horizontal="left"/>
    </xf>
    <xf numFmtId="0" fontId="0" fillId="0" borderId="0" xfId="0" applyAlignment="1">
      <alignment horizontal="center"/>
    </xf>
    <xf numFmtId="0" fontId="1" fillId="6" borderId="22" xfId="0" applyFont="1" applyFill="1" applyBorder="1" applyAlignment="1">
      <alignment horizontal="center" wrapText="1"/>
    </xf>
    <xf numFmtId="0" fontId="1" fillId="6" borderId="23" xfId="0" applyFont="1" applyFill="1" applyBorder="1" applyAlignment="1">
      <alignment horizontal="center" wrapText="1"/>
    </xf>
    <xf numFmtId="0" fontId="1" fillId="6" borderId="24" xfId="0" applyFont="1" applyFill="1" applyBorder="1" applyAlignment="1">
      <alignment horizontal="center" wrapText="1"/>
    </xf>
    <xf numFmtId="0" fontId="1" fillId="6" borderId="50" xfId="0" applyFont="1" applyFill="1" applyBorder="1" applyAlignment="1">
      <alignment horizontal="center" wrapText="1"/>
    </xf>
    <xf numFmtId="0" fontId="1" fillId="6" borderId="22" xfId="0" applyFont="1" applyFill="1" applyBorder="1" applyAlignment="1">
      <alignment horizontal="center" vertical="center" wrapText="1"/>
    </xf>
    <xf numFmtId="0" fontId="1" fillId="6" borderId="29" xfId="0" applyFont="1" applyFill="1" applyBorder="1" applyAlignment="1">
      <alignment horizontal="center" vertical="center" wrapText="1"/>
    </xf>
    <xf numFmtId="0" fontId="0" fillId="7" borderId="0" xfId="0" applyFill="1" applyBorder="1" applyAlignment="1">
      <alignment horizontal="left" vertical="center" wrapText="1"/>
    </xf>
    <xf numFmtId="0" fontId="0" fillId="7" borderId="0" xfId="0" applyFill="1" applyBorder="1" applyAlignment="1">
      <alignment horizontal="center"/>
    </xf>
    <xf numFmtId="0" fontId="0" fillId="7" borderId="63" xfId="0" applyFill="1" applyBorder="1" applyAlignment="1">
      <alignment horizontal="left"/>
    </xf>
    <xf numFmtId="0" fontId="0" fillId="7" borderId="0" xfId="0" applyFill="1" applyBorder="1" applyAlignment="1">
      <alignment horizontal="left"/>
    </xf>
    <xf numFmtId="0" fontId="12" fillId="7" borderId="62" xfId="0" applyFont="1" applyFill="1" applyBorder="1"/>
    <xf numFmtId="0" fontId="0" fillId="7" borderId="64" xfId="0" applyFill="1" applyBorder="1" applyAlignment="1">
      <alignment horizontal="left"/>
    </xf>
    <xf numFmtId="0" fontId="12" fillId="7" borderId="0" xfId="0" applyFont="1" applyFill="1" applyBorder="1" applyAlignment="1">
      <alignment horizontal="left"/>
    </xf>
    <xf numFmtId="0" fontId="0" fillId="7" borderId="0" xfId="0" applyFill="1" applyBorder="1" applyAlignment="1">
      <alignment horizontal="left" wrapText="1"/>
    </xf>
    <xf numFmtId="0" fontId="0" fillId="7" borderId="0" xfId="0" applyFill="1" applyBorder="1" applyAlignment="1">
      <alignment horizontal="left" vertical="top" wrapText="1"/>
    </xf>
    <xf numFmtId="0" fontId="12" fillId="7" borderId="0"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B3B3"/>
      <color rgb="FFFFCCCC"/>
      <color rgb="FFFFE7E7"/>
      <color rgb="FFFFD9D9"/>
      <color rgb="FFFF6699"/>
      <color rgb="FFFF7C80"/>
      <color rgb="FFFFCC99"/>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5"/>
  <sheetViews>
    <sheetView tabSelected="1" zoomScale="130" zoomScaleNormal="130" workbookViewId="0">
      <selection activeCell="B5" sqref="B5:D5"/>
    </sheetView>
  </sheetViews>
  <sheetFormatPr baseColWidth="10" defaultColWidth="9.140625" defaultRowHeight="15" x14ac:dyDescent="0.25"/>
  <cols>
    <col min="1" max="3" width="4.7109375" customWidth="1"/>
    <col min="4" max="4" width="6.28515625" customWidth="1"/>
    <col min="5" max="5" width="10.5703125" customWidth="1"/>
    <col min="6" max="6" width="4" customWidth="1"/>
    <col min="7" max="7" width="11.7109375" customWidth="1"/>
    <col min="8" max="8" width="9.7109375" customWidth="1"/>
    <col min="9" max="9" width="11.7109375" customWidth="1"/>
    <col min="10" max="10" width="3" customWidth="1"/>
    <col min="11" max="12" width="7.7109375" customWidth="1"/>
    <col min="13" max="13" width="11.5703125" customWidth="1"/>
    <col min="14" max="14" width="7.7109375" customWidth="1"/>
    <col min="15" max="15" width="4.140625" customWidth="1"/>
    <col min="16" max="16" width="3.85546875" customWidth="1"/>
    <col min="17" max="17" width="3.5703125" customWidth="1"/>
  </cols>
  <sheetData>
    <row r="1" spans="1:22" ht="14.1" customHeight="1" thickBot="1" x14ac:dyDescent="0.3">
      <c r="A1" s="141" t="e" vm="1">
        <v>#VALUE!</v>
      </c>
      <c r="B1" s="141"/>
      <c r="C1" s="141"/>
      <c r="D1" s="141"/>
      <c r="E1" s="141"/>
      <c r="F1" s="30"/>
      <c r="G1" s="33" t="s">
        <v>37</v>
      </c>
      <c r="H1" s="182"/>
      <c r="I1" s="183"/>
      <c r="K1" s="48" t="s">
        <v>39</v>
      </c>
      <c r="L1" s="30"/>
      <c r="N1" s="30"/>
    </row>
    <row r="2" spans="1:22" ht="14.1" customHeight="1" x14ac:dyDescent="0.25">
      <c r="A2" s="141"/>
      <c r="B2" s="141"/>
      <c r="C2" s="141"/>
      <c r="D2" s="141"/>
      <c r="E2" s="141"/>
      <c r="F2" s="30"/>
      <c r="G2" s="184" t="s">
        <v>19</v>
      </c>
      <c r="H2" s="186" t="s">
        <v>61</v>
      </c>
      <c r="I2" s="187"/>
      <c r="K2" s="82" t="s">
        <v>36</v>
      </c>
      <c r="L2" s="83"/>
      <c r="M2" s="84"/>
    </row>
    <row r="3" spans="1:22" ht="14.1" customHeight="1" thickBot="1" x14ac:dyDescent="0.3">
      <c r="A3" s="141"/>
      <c r="B3" s="141"/>
      <c r="C3" s="141"/>
      <c r="D3" s="141"/>
      <c r="E3" s="141"/>
      <c r="F3" s="30"/>
      <c r="G3" s="185"/>
      <c r="H3" s="188"/>
      <c r="I3" s="189"/>
      <c r="K3" s="106" t="s">
        <v>41</v>
      </c>
      <c r="L3" s="107"/>
      <c r="M3" s="108"/>
    </row>
    <row r="4" spans="1:22" ht="14.1" customHeight="1" thickBot="1" x14ac:dyDescent="0.3">
      <c r="A4" s="141"/>
      <c r="B4" s="141"/>
      <c r="C4" s="141"/>
      <c r="D4" s="141"/>
      <c r="E4" s="141"/>
      <c r="F4" s="30"/>
      <c r="G4" s="184" t="s">
        <v>34</v>
      </c>
      <c r="H4" s="186"/>
      <c r="I4" s="187"/>
      <c r="K4" s="49" t="s">
        <v>42</v>
      </c>
      <c r="L4" s="41"/>
      <c r="M4" s="37"/>
    </row>
    <row r="5" spans="1:22" ht="14.1" customHeight="1" thickBot="1" x14ac:dyDescent="0.3">
      <c r="A5" s="58" t="s">
        <v>43</v>
      </c>
      <c r="B5" s="95" t="s">
        <v>50</v>
      </c>
      <c r="C5" s="95"/>
      <c r="D5" s="96"/>
      <c r="E5" s="55"/>
      <c r="F5" s="30"/>
      <c r="G5" s="185"/>
      <c r="H5" s="188"/>
      <c r="I5" s="189"/>
      <c r="K5" s="59" t="s">
        <v>58</v>
      </c>
      <c r="L5" s="41"/>
      <c r="M5" s="37"/>
    </row>
    <row r="6" spans="1:22" ht="14.1" customHeight="1" thickBot="1" x14ac:dyDescent="0.3">
      <c r="F6" s="30"/>
      <c r="G6" s="33" t="s">
        <v>20</v>
      </c>
      <c r="H6" s="182" t="s">
        <v>35</v>
      </c>
      <c r="I6" s="183"/>
      <c r="K6" s="190"/>
      <c r="L6" s="191"/>
      <c r="M6" s="192"/>
    </row>
    <row r="7" spans="1:22" ht="14.1" customHeight="1" thickBot="1" x14ac:dyDescent="0.3">
      <c r="A7" s="138" t="s">
        <v>38</v>
      </c>
      <c r="B7" s="139"/>
      <c r="C7" s="139"/>
      <c r="D7" s="140"/>
      <c r="E7" s="34" t="s">
        <v>46</v>
      </c>
      <c r="F7" s="30"/>
      <c r="G7" s="33" t="s">
        <v>21</v>
      </c>
      <c r="H7" s="182"/>
      <c r="I7" s="183"/>
      <c r="K7" s="106"/>
      <c r="L7" s="107"/>
      <c r="M7" s="108"/>
      <c r="U7" s="30"/>
      <c r="V7" s="30"/>
    </row>
    <row r="8" spans="1:22" ht="14.1" customHeight="1" thickBot="1" x14ac:dyDescent="0.3">
      <c r="A8" s="158"/>
      <c r="B8" s="159"/>
      <c r="C8" s="159"/>
      <c r="D8" s="160"/>
      <c r="E8" s="35">
        <v>1</v>
      </c>
      <c r="F8" s="30"/>
      <c r="G8" s="33" t="s">
        <v>22</v>
      </c>
      <c r="H8" s="182" t="s">
        <v>12</v>
      </c>
      <c r="I8" s="183"/>
      <c r="K8" s="106"/>
      <c r="L8" s="107"/>
      <c r="M8" s="108"/>
    </row>
    <row r="9" spans="1:22" ht="14.1" customHeight="1" thickBot="1" x14ac:dyDescent="0.3">
      <c r="A9" s="30"/>
      <c r="B9" s="30"/>
      <c r="C9" s="30"/>
      <c r="D9" s="30"/>
      <c r="E9" s="30"/>
      <c r="F9" s="30"/>
      <c r="K9" s="106"/>
      <c r="L9" s="107"/>
      <c r="M9" s="108"/>
    </row>
    <row r="10" spans="1:22" ht="14.1" customHeight="1" thickBot="1" x14ac:dyDescent="0.3">
      <c r="A10" s="170" t="s">
        <v>66</v>
      </c>
      <c r="B10" s="171"/>
      <c r="C10" s="171"/>
      <c r="D10" s="172"/>
      <c r="E10" s="152" t="s">
        <v>31</v>
      </c>
      <c r="F10" s="30"/>
      <c r="G10" s="85" t="s">
        <v>59</v>
      </c>
      <c r="H10" s="86"/>
      <c r="I10" s="87"/>
      <c r="K10" s="193"/>
      <c r="L10" s="194"/>
      <c r="M10" s="195"/>
    </row>
    <row r="11" spans="1:22" ht="14.1" customHeight="1" x14ac:dyDescent="0.25">
      <c r="A11" s="73" t="s">
        <v>65</v>
      </c>
      <c r="B11" s="74"/>
      <c r="C11" s="74"/>
      <c r="D11" s="75"/>
      <c r="E11" s="153"/>
      <c r="F11" s="30"/>
      <c r="G11" s="176"/>
      <c r="H11" s="177"/>
      <c r="I11" s="178"/>
      <c r="K11" s="173"/>
      <c r="L11" s="174"/>
      <c r="M11" s="175"/>
    </row>
    <row r="12" spans="1:22" ht="14.1" customHeight="1" thickBot="1" x14ac:dyDescent="0.3">
      <c r="A12" s="156"/>
      <c r="B12" s="157"/>
      <c r="C12" s="70" t="str">
        <f>_xlfn.CONCAT("/",IF(A32=0,20,20 + A32*IF(Modifiers!O5,Modifiers!O5,20)) + Modifiers!N5)</f>
        <v>/40</v>
      </c>
      <c r="D12" s="71"/>
      <c r="E12" s="31"/>
      <c r="F12" s="30"/>
      <c r="G12" s="79"/>
      <c r="H12" s="80"/>
      <c r="I12" s="81"/>
      <c r="K12" s="106"/>
      <c r="L12" s="107"/>
      <c r="M12" s="108"/>
    </row>
    <row r="13" spans="1:22" ht="14.1" customHeight="1" thickBot="1" x14ac:dyDescent="0.3">
      <c r="A13" s="30"/>
      <c r="B13" s="30"/>
      <c r="C13" s="30"/>
      <c r="D13" s="30"/>
      <c r="E13" s="30"/>
      <c r="F13" s="30"/>
      <c r="G13" s="79"/>
      <c r="H13" s="80"/>
      <c r="I13" s="81"/>
      <c r="K13" s="106"/>
      <c r="L13" s="107"/>
      <c r="M13" s="108"/>
    </row>
    <row r="14" spans="1:22" ht="14.1" customHeight="1" x14ac:dyDescent="0.25">
      <c r="A14" s="65" t="s">
        <v>67</v>
      </c>
      <c r="B14" s="67"/>
      <c r="C14" s="67"/>
      <c r="D14" s="68"/>
      <c r="E14" s="152" t="s">
        <v>31</v>
      </c>
      <c r="F14" s="30"/>
      <c r="G14" s="79"/>
      <c r="H14" s="80"/>
      <c r="I14" s="81"/>
      <c r="K14" s="106"/>
      <c r="L14" s="107"/>
      <c r="M14" s="108"/>
    </row>
    <row r="15" spans="1:22" ht="14.1" customHeight="1" x14ac:dyDescent="0.25">
      <c r="A15" s="73" t="s">
        <v>71</v>
      </c>
      <c r="B15" s="74"/>
      <c r="C15" s="74"/>
      <c r="D15" s="75"/>
      <c r="E15" s="153"/>
      <c r="F15" s="30"/>
      <c r="G15" s="179"/>
      <c r="H15" s="180"/>
      <c r="I15" s="181"/>
      <c r="K15" s="106"/>
      <c r="L15" s="107"/>
      <c r="M15" s="108"/>
    </row>
    <row r="16" spans="1:22" ht="14.1" customHeight="1" thickBot="1" x14ac:dyDescent="0.3">
      <c r="A16" s="156"/>
      <c r="B16" s="157"/>
      <c r="C16" s="70" t="str">
        <f>_xlfn.CONCAT("/",IF(A34=0,20,20 + A34 * IF(Modifiers!O6,Modifiers!O6,20)) + Modifiers!N6)</f>
        <v>/80</v>
      </c>
      <c r="D16" s="71"/>
      <c r="E16" s="31"/>
      <c r="F16" s="30"/>
      <c r="G16" s="79"/>
      <c r="H16" s="80"/>
      <c r="I16" s="81"/>
      <c r="K16" s="106"/>
      <c r="L16" s="107"/>
      <c r="M16" s="108"/>
    </row>
    <row r="17" spans="1:14" ht="14.1" customHeight="1" thickBot="1" x14ac:dyDescent="0.3">
      <c r="A17" s="30"/>
      <c r="B17" s="30"/>
      <c r="C17" s="30"/>
      <c r="D17" s="30"/>
      <c r="E17" s="30"/>
      <c r="F17" s="30"/>
      <c r="G17" s="79"/>
      <c r="H17" s="80"/>
      <c r="I17" s="81"/>
      <c r="K17" s="106"/>
      <c r="L17" s="107"/>
      <c r="M17" s="108"/>
    </row>
    <row r="18" spans="1:14" ht="14.1" customHeight="1" x14ac:dyDescent="0.25">
      <c r="A18" s="66" t="s">
        <v>70</v>
      </c>
      <c r="B18" s="67"/>
      <c r="C18" s="69"/>
      <c r="D18" s="154"/>
      <c r="E18" s="152" t="s">
        <v>32</v>
      </c>
      <c r="F18" s="30"/>
      <c r="G18" s="100"/>
      <c r="H18" s="101"/>
      <c r="I18" s="102"/>
      <c r="K18" s="106"/>
      <c r="L18" s="107"/>
      <c r="M18" s="108"/>
    </row>
    <row r="19" spans="1:14" ht="14.1" customHeight="1" thickBot="1" x14ac:dyDescent="0.3">
      <c r="A19" s="76" t="s">
        <v>46</v>
      </c>
      <c r="B19" s="77"/>
      <c r="C19" s="78"/>
      <c r="D19" s="155"/>
      <c r="E19" s="153"/>
      <c r="F19" s="30"/>
      <c r="G19" s="97" t="s">
        <v>60</v>
      </c>
      <c r="H19" s="98"/>
      <c r="I19" s="99"/>
      <c r="K19" s="106"/>
      <c r="L19" s="107"/>
      <c r="M19" s="108"/>
    </row>
    <row r="20" spans="1:14" ht="14.1" customHeight="1" thickBot="1" x14ac:dyDescent="0.3">
      <c r="A20" s="167" t="s">
        <v>23</v>
      </c>
      <c r="B20" s="168"/>
      <c r="C20" s="168"/>
      <c r="D20" s="169"/>
      <c r="E20" s="32" t="str">
        <f>_xlfn.CONCAT("+",IF(Modifiers!K6="Edge",_xlfn.CONCAT(A34,"E"),A34))</f>
        <v>+3</v>
      </c>
      <c r="F20" s="30"/>
      <c r="G20" s="79"/>
      <c r="H20" s="80"/>
      <c r="I20" s="81"/>
      <c r="K20" s="106"/>
      <c r="L20" s="107"/>
      <c r="M20" s="108"/>
    </row>
    <row r="21" spans="1:14" ht="14.1" customHeight="1" thickBot="1" x14ac:dyDescent="0.3">
      <c r="A21" s="116" t="s">
        <v>40</v>
      </c>
      <c r="B21" s="117"/>
      <c r="C21" s="117"/>
      <c r="D21" s="117"/>
      <c r="E21" s="118"/>
      <c r="F21" s="30"/>
      <c r="G21" s="103"/>
      <c r="H21" s="104"/>
      <c r="I21" s="105"/>
      <c r="K21" s="111"/>
      <c r="L21" s="112"/>
      <c r="M21" s="113"/>
    </row>
    <row r="22" spans="1:14" ht="14.1" customHeight="1" thickBot="1" x14ac:dyDescent="0.3">
      <c r="A22" s="116"/>
      <c r="B22" s="117"/>
      <c r="C22" s="117"/>
      <c r="D22" s="117"/>
      <c r="E22" s="163"/>
      <c r="F22" s="30"/>
      <c r="J22" s="30"/>
      <c r="K22" s="30"/>
      <c r="L22" s="30"/>
      <c r="M22" s="30"/>
      <c r="N22" s="30"/>
    </row>
    <row r="23" spans="1:14" ht="14.1" customHeight="1" thickBot="1" x14ac:dyDescent="0.3">
      <c r="A23" s="161"/>
      <c r="B23" s="162"/>
      <c r="C23" s="159"/>
      <c r="D23" s="159"/>
      <c r="E23" s="160"/>
      <c r="F23" s="30"/>
      <c r="G23" s="43" t="s">
        <v>18</v>
      </c>
      <c r="H23" s="30"/>
      <c r="I23" s="30"/>
      <c r="J23" s="30"/>
      <c r="K23" s="30"/>
      <c r="L23" s="30"/>
      <c r="M23" s="30"/>
      <c r="N23" s="30"/>
    </row>
    <row r="24" spans="1:14" ht="14.1" customHeight="1" thickBot="1" x14ac:dyDescent="0.3">
      <c r="A24" s="30"/>
      <c r="B24" s="30"/>
      <c r="C24" s="30"/>
      <c r="D24" s="30"/>
      <c r="E24" s="30"/>
      <c r="F24" s="30"/>
      <c r="G24" s="44" t="s">
        <v>45</v>
      </c>
      <c r="H24" s="45"/>
      <c r="I24" s="39" t="s">
        <v>72</v>
      </c>
      <c r="J24" s="39"/>
      <c r="K24" s="39"/>
      <c r="L24" s="39"/>
      <c r="M24" s="40"/>
    </row>
    <row r="25" spans="1:14" ht="14.1" customHeight="1" x14ac:dyDescent="0.25">
      <c r="A25" s="164" t="s">
        <v>25</v>
      </c>
      <c r="B25" s="165"/>
      <c r="C25" s="165"/>
      <c r="D25" s="165"/>
      <c r="E25" s="166"/>
      <c r="F25" s="30"/>
      <c r="G25" s="46"/>
      <c r="H25" s="47"/>
      <c r="I25" s="41"/>
      <c r="J25" s="41"/>
      <c r="K25" s="41"/>
      <c r="L25" s="41"/>
      <c r="M25" s="37"/>
    </row>
    <row r="26" spans="1:14" ht="14.1" customHeight="1" x14ac:dyDescent="0.25">
      <c r="A26" s="146" t="s">
        <v>26</v>
      </c>
      <c r="B26" s="147"/>
      <c r="C26" s="147"/>
      <c r="D26" s="147" t="s">
        <v>27</v>
      </c>
      <c r="E26" s="150"/>
      <c r="F26" s="30"/>
      <c r="G26" s="46"/>
      <c r="H26" s="47"/>
      <c r="I26" s="41"/>
      <c r="J26" s="41"/>
      <c r="K26" s="41"/>
      <c r="L26" s="41"/>
      <c r="M26" s="37"/>
    </row>
    <row r="27" spans="1:14" ht="14.1" customHeight="1" thickBot="1" x14ac:dyDescent="0.3">
      <c r="A27" s="148"/>
      <c r="B27" s="149"/>
      <c r="C27" s="149"/>
      <c r="D27" s="149"/>
      <c r="E27" s="151"/>
      <c r="F27" s="30"/>
      <c r="G27" s="46" t="s">
        <v>61</v>
      </c>
      <c r="H27" s="47"/>
      <c r="I27" s="109" t="s">
        <v>73</v>
      </c>
      <c r="J27" s="109"/>
      <c r="K27" s="109"/>
      <c r="L27" s="109"/>
      <c r="M27" s="110"/>
    </row>
    <row r="28" spans="1:14" ht="14.1" customHeight="1" x14ac:dyDescent="0.25">
      <c r="A28" s="143">
        <v>0</v>
      </c>
      <c r="B28" s="144"/>
      <c r="C28" s="145"/>
      <c r="D28" s="134">
        <f xml:space="preserve"> 10 + A28 + Modifiers!B3</f>
        <v>10</v>
      </c>
      <c r="E28" s="135"/>
      <c r="F28" s="30"/>
      <c r="G28" s="46"/>
      <c r="H28" s="47"/>
      <c r="I28" s="109"/>
      <c r="J28" s="109"/>
      <c r="K28" s="109"/>
      <c r="L28" s="109"/>
      <c r="M28" s="110"/>
    </row>
    <row r="29" spans="1:14" ht="14.1" customHeight="1" thickBot="1" x14ac:dyDescent="0.3">
      <c r="A29" s="119" t="s">
        <v>63</v>
      </c>
      <c r="B29" s="120"/>
      <c r="C29" s="121"/>
      <c r="D29" s="136"/>
      <c r="E29" s="137"/>
      <c r="F29" s="30"/>
      <c r="G29" s="46"/>
      <c r="H29" s="47"/>
      <c r="I29" s="109"/>
      <c r="J29" s="109"/>
      <c r="K29" s="109"/>
      <c r="L29" s="109"/>
      <c r="M29" s="110"/>
    </row>
    <row r="30" spans="1:14" ht="14.1" customHeight="1" x14ac:dyDescent="0.25">
      <c r="A30" s="143">
        <v>1</v>
      </c>
      <c r="B30" s="144"/>
      <c r="C30" s="145"/>
      <c r="D30" s="134">
        <f>IF(Modifiers!C4,Modifiers!C4,10 + A30 + Modifiers!B4)</f>
        <v>11</v>
      </c>
      <c r="E30" s="135"/>
      <c r="F30" s="30"/>
      <c r="G30" s="46"/>
      <c r="H30" s="47"/>
      <c r="I30" s="41"/>
      <c r="J30" s="41"/>
      <c r="K30" s="41"/>
      <c r="L30" s="41"/>
      <c r="M30" s="37"/>
    </row>
    <row r="31" spans="1:14" ht="14.1" customHeight="1" thickBot="1" x14ac:dyDescent="0.3">
      <c r="A31" s="119" t="s">
        <v>28</v>
      </c>
      <c r="B31" s="120"/>
      <c r="C31" s="121"/>
      <c r="D31" s="136"/>
      <c r="E31" s="137"/>
      <c r="F31" s="30"/>
      <c r="G31" s="46"/>
      <c r="H31" s="47"/>
      <c r="I31" s="41"/>
      <c r="J31" s="41"/>
      <c r="K31" s="41"/>
      <c r="L31" s="41"/>
      <c r="M31" s="37"/>
    </row>
    <row r="32" spans="1:14" ht="14.1" customHeight="1" x14ac:dyDescent="0.25">
      <c r="A32" s="143">
        <v>1</v>
      </c>
      <c r="B32" s="144"/>
      <c r="C32" s="145"/>
      <c r="D32" s="134">
        <f xml:space="preserve"> 10 + A32 + Modifiers!B5</f>
        <v>11</v>
      </c>
      <c r="E32" s="135"/>
      <c r="F32" s="30"/>
      <c r="G32" s="46"/>
      <c r="H32" s="47"/>
      <c r="I32" s="41"/>
      <c r="J32" s="41"/>
      <c r="K32" s="41"/>
      <c r="L32" s="41"/>
      <c r="M32" s="37"/>
    </row>
    <row r="33" spans="1:14" ht="14.1" customHeight="1" thickBot="1" x14ac:dyDescent="0.3">
      <c r="A33" s="119" t="s">
        <v>30</v>
      </c>
      <c r="B33" s="120"/>
      <c r="C33" s="121"/>
      <c r="D33" s="136"/>
      <c r="E33" s="137"/>
      <c r="F33" s="30"/>
      <c r="G33" s="46"/>
      <c r="H33" s="47"/>
      <c r="I33" s="41"/>
      <c r="J33" s="41"/>
      <c r="K33" s="41"/>
      <c r="L33" s="41"/>
      <c r="M33" s="37"/>
    </row>
    <row r="34" spans="1:14" ht="14.1" customHeight="1" x14ac:dyDescent="0.25">
      <c r="A34" s="143">
        <v>3</v>
      </c>
      <c r="B34" s="144"/>
      <c r="C34" s="145"/>
      <c r="D34" s="134">
        <f xml:space="preserve"> 10 + A34 + Modifiers!B6</f>
        <v>13</v>
      </c>
      <c r="E34" s="135"/>
      <c r="F34" s="30"/>
      <c r="G34" s="46"/>
      <c r="H34" s="47"/>
      <c r="I34" s="41"/>
      <c r="J34" s="41"/>
      <c r="K34" s="41"/>
      <c r="L34" s="41"/>
      <c r="M34" s="37"/>
    </row>
    <row r="35" spans="1:14" ht="14.1" customHeight="1" thickBot="1" x14ac:dyDescent="0.3">
      <c r="A35" s="119" t="s">
        <v>29</v>
      </c>
      <c r="B35" s="120"/>
      <c r="C35" s="121"/>
      <c r="D35" s="136"/>
      <c r="E35" s="137"/>
      <c r="F35" s="30"/>
      <c r="G35" s="46"/>
      <c r="H35" s="47"/>
      <c r="I35" s="41"/>
      <c r="J35" s="41"/>
      <c r="K35" s="41"/>
      <c r="L35" s="41"/>
      <c r="M35" s="37"/>
    </row>
    <row r="36" spans="1:14" ht="14.1" customHeight="1" x14ac:dyDescent="0.25">
      <c r="A36" s="143">
        <v>1</v>
      </c>
      <c r="B36" s="144"/>
      <c r="C36" s="145"/>
      <c r="D36" s="134">
        <f xml:space="preserve"> 10 + A36 + Modifiers!B7</f>
        <v>11</v>
      </c>
      <c r="E36" s="135"/>
      <c r="F36" s="30"/>
      <c r="G36" s="46"/>
      <c r="H36" s="47"/>
      <c r="I36" s="41"/>
      <c r="J36" s="41"/>
      <c r="K36" s="41"/>
      <c r="L36" s="41"/>
      <c r="M36" s="37"/>
    </row>
    <row r="37" spans="1:14" ht="14.1" customHeight="1" thickBot="1" x14ac:dyDescent="0.3">
      <c r="A37" s="119" t="s">
        <v>5</v>
      </c>
      <c r="B37" s="120"/>
      <c r="C37" s="121"/>
      <c r="D37" s="136"/>
      <c r="E37" s="137"/>
      <c r="F37" s="30"/>
      <c r="G37" s="46"/>
      <c r="H37" s="47"/>
      <c r="I37" s="41"/>
      <c r="J37" s="41"/>
      <c r="K37" s="41"/>
      <c r="L37" s="41"/>
      <c r="M37" s="37"/>
    </row>
    <row r="38" spans="1:14" ht="14.1" customHeight="1" x14ac:dyDescent="0.25">
      <c r="A38" s="134">
        <v>0</v>
      </c>
      <c r="B38" s="142"/>
      <c r="C38" s="135"/>
      <c r="D38" s="134">
        <f xml:space="preserve"> 10 + A38 + Modifiers!B8</f>
        <v>10</v>
      </c>
      <c r="E38" s="135"/>
      <c r="F38" s="30"/>
      <c r="G38" s="46"/>
      <c r="H38" s="47"/>
      <c r="I38" s="41"/>
      <c r="J38" s="41"/>
      <c r="K38" s="41"/>
      <c r="L38" s="41"/>
      <c r="M38" s="37"/>
    </row>
    <row r="39" spans="1:14" ht="14.1" customHeight="1" thickBot="1" x14ac:dyDescent="0.3">
      <c r="A39" s="119" t="s">
        <v>33</v>
      </c>
      <c r="B39" s="120"/>
      <c r="C39" s="121"/>
      <c r="D39" s="136"/>
      <c r="E39" s="137"/>
      <c r="F39" s="30"/>
      <c r="G39" s="46"/>
      <c r="H39" s="47"/>
      <c r="I39" s="41"/>
      <c r="J39" s="41"/>
      <c r="K39" s="41"/>
      <c r="L39" s="41"/>
      <c r="M39" s="37"/>
    </row>
    <row r="40" spans="1:14" ht="14.1" customHeight="1" thickBot="1" x14ac:dyDescent="0.3">
      <c r="A40" s="30"/>
      <c r="B40" s="30"/>
      <c r="C40" s="42"/>
      <c r="D40" s="30"/>
      <c r="E40" s="30"/>
      <c r="F40" s="30"/>
      <c r="G40" s="92"/>
      <c r="H40" s="93"/>
      <c r="I40" s="93"/>
      <c r="J40" s="93"/>
      <c r="K40" s="93"/>
      <c r="L40" s="93"/>
      <c r="M40" s="94"/>
    </row>
    <row r="41" spans="1:14" ht="11.25" customHeight="1" thickBot="1" x14ac:dyDescent="0.3">
      <c r="A41" s="130" t="s">
        <v>24</v>
      </c>
      <c r="B41" s="131"/>
      <c r="C41" s="131"/>
      <c r="D41" s="131"/>
      <c r="E41" s="132"/>
      <c r="F41" s="30"/>
      <c r="G41" s="30"/>
      <c r="H41" s="30"/>
      <c r="I41" s="30"/>
      <c r="J41" s="30"/>
      <c r="K41" s="30"/>
      <c r="L41" s="30"/>
      <c r="M41" s="30"/>
    </row>
    <row r="42" spans="1:14" ht="16.5" customHeight="1" thickBot="1" x14ac:dyDescent="0.3">
      <c r="A42" s="122" t="s">
        <v>63</v>
      </c>
      <c r="B42" s="114" t="e" vm="2">
        <v>#VALUE!</v>
      </c>
      <c r="C42" s="124" t="str">
        <f>_xlfn.CONCAT("X ",IF(Modifiers!G3,Modifiers!G3,$E$8 + Modifiers!F3))</f>
        <v>X 1</v>
      </c>
      <c r="D42" s="133" t="s">
        <v>7</v>
      </c>
      <c r="E42" s="128">
        <f>A28</f>
        <v>0</v>
      </c>
      <c r="F42" s="30"/>
      <c r="G42" s="43" t="s">
        <v>17</v>
      </c>
      <c r="H42" s="30"/>
      <c r="I42" s="30"/>
      <c r="J42" s="30"/>
      <c r="K42" s="30"/>
      <c r="L42" s="30"/>
      <c r="M42" s="30"/>
    </row>
    <row r="43" spans="1:14" ht="14.1" customHeight="1" x14ac:dyDescent="0.25">
      <c r="A43" s="122"/>
      <c r="B43" s="114"/>
      <c r="C43" s="124"/>
      <c r="D43" s="126"/>
      <c r="E43" s="128"/>
      <c r="F43" s="30"/>
      <c r="G43" s="50"/>
      <c r="H43" s="51"/>
      <c r="I43" s="51"/>
      <c r="J43" s="51"/>
      <c r="K43" s="51"/>
      <c r="L43" s="51"/>
      <c r="M43" s="52"/>
    </row>
    <row r="44" spans="1:14" ht="14.1" customHeight="1" x14ac:dyDescent="0.25">
      <c r="A44" s="122" t="s">
        <v>28</v>
      </c>
      <c r="B44" s="114" t="e" vm="2">
        <v>#VALUE!</v>
      </c>
      <c r="C44" s="124" t="str">
        <f>_xlfn.CONCAT("X ",IF(Modifiers!G5,Modifiers!G5,$E$8 + Modifiers!F5))</f>
        <v>X 1</v>
      </c>
      <c r="D44" s="126" t="s">
        <v>7</v>
      </c>
      <c r="E44" s="128">
        <f>A30</f>
        <v>1</v>
      </c>
      <c r="F44" s="30"/>
      <c r="G44" s="38"/>
      <c r="H44" s="36"/>
      <c r="I44" s="36"/>
      <c r="J44" s="36"/>
      <c r="K44" s="36"/>
      <c r="L44" s="36"/>
      <c r="M44" s="53"/>
    </row>
    <row r="45" spans="1:14" ht="14.1" customHeight="1" x14ac:dyDescent="0.25">
      <c r="A45" s="122"/>
      <c r="B45" s="114"/>
      <c r="C45" s="124"/>
      <c r="D45" s="126"/>
      <c r="E45" s="128"/>
      <c r="F45" s="30"/>
      <c r="G45" s="38"/>
      <c r="H45" s="36"/>
      <c r="I45" s="36"/>
      <c r="J45" s="36"/>
      <c r="K45" s="36"/>
      <c r="L45" s="36"/>
      <c r="M45" s="53"/>
      <c r="N45" s="30"/>
    </row>
    <row r="46" spans="1:14" ht="14.1" customHeight="1" x14ac:dyDescent="0.25">
      <c r="A46" s="122" t="s">
        <v>5</v>
      </c>
      <c r="B46" s="114" t="e" vm="2">
        <v>#VALUE!</v>
      </c>
      <c r="C46" s="124" t="str">
        <f>_xlfn.CONCAT("X ",IF(Modifiers!G7,Modifiers!G7,$E$8 + Modifiers!F7))</f>
        <v>X 1</v>
      </c>
      <c r="D46" s="126" t="s">
        <v>7</v>
      </c>
      <c r="E46" s="128">
        <f>A36</f>
        <v>1</v>
      </c>
      <c r="F46" s="30"/>
      <c r="G46" s="38"/>
      <c r="H46" s="36"/>
      <c r="I46" s="36"/>
      <c r="J46" s="36"/>
      <c r="K46" s="36"/>
      <c r="L46" s="36"/>
      <c r="M46" s="53"/>
      <c r="N46" s="30"/>
    </row>
    <row r="47" spans="1:14" ht="14.1" customHeight="1" x14ac:dyDescent="0.25">
      <c r="A47" s="122"/>
      <c r="B47" s="114"/>
      <c r="C47" s="124"/>
      <c r="D47" s="126"/>
      <c r="E47" s="128"/>
      <c r="F47" s="30"/>
      <c r="G47" s="79"/>
      <c r="H47" s="80"/>
      <c r="I47" s="80"/>
      <c r="J47" s="80"/>
      <c r="K47" s="80"/>
      <c r="L47" s="80"/>
      <c r="M47" s="81"/>
    </row>
    <row r="48" spans="1:14" ht="14.1" customHeight="1" x14ac:dyDescent="0.25">
      <c r="A48" s="122" t="s">
        <v>33</v>
      </c>
      <c r="B48" s="114" t="e" vm="2">
        <v>#VALUE!</v>
      </c>
      <c r="C48" s="124" t="str">
        <f>_xlfn.CONCAT("X ",IF(Modifiers!G9,Modifiers!G9,$E$8 + Modifiers!F9))</f>
        <v>X 1</v>
      </c>
      <c r="D48" s="126" t="s">
        <v>7</v>
      </c>
      <c r="E48" s="128">
        <f>A38</f>
        <v>0</v>
      </c>
      <c r="F48" s="30"/>
      <c r="G48" s="79"/>
      <c r="H48" s="80"/>
      <c r="I48" s="80"/>
      <c r="J48" s="80"/>
      <c r="K48" s="80"/>
      <c r="L48" s="80"/>
      <c r="M48" s="81"/>
    </row>
    <row r="49" spans="1:13" ht="14.1" customHeight="1" thickBot="1" x14ac:dyDescent="0.3">
      <c r="A49" s="123"/>
      <c r="B49" s="115"/>
      <c r="C49" s="125"/>
      <c r="D49" s="127"/>
      <c r="E49" s="129"/>
      <c r="F49" s="30"/>
      <c r="G49" s="79"/>
      <c r="H49" s="80"/>
      <c r="I49" s="80"/>
      <c r="J49" s="80"/>
      <c r="K49" s="80"/>
      <c r="L49" s="80"/>
      <c r="M49" s="81"/>
    </row>
    <row r="50" spans="1:13" ht="14.1" customHeight="1" thickBot="1" x14ac:dyDescent="0.3">
      <c r="A50" s="30"/>
      <c r="B50" s="30"/>
      <c r="C50" s="30"/>
      <c r="D50" s="30"/>
      <c r="E50" s="30"/>
      <c r="F50" s="30"/>
      <c r="G50" s="46"/>
      <c r="H50" s="47"/>
      <c r="I50" s="41"/>
      <c r="J50" s="41"/>
      <c r="K50" s="41"/>
      <c r="L50" s="41"/>
      <c r="M50" s="37"/>
    </row>
    <row r="51" spans="1:13" ht="14.1" customHeight="1" x14ac:dyDescent="0.25">
      <c r="A51" s="66" t="s">
        <v>68</v>
      </c>
      <c r="B51" s="67"/>
      <c r="C51" s="67"/>
      <c r="D51" s="67"/>
      <c r="E51" s="68"/>
      <c r="F51" s="30"/>
      <c r="G51" s="46"/>
      <c r="H51" s="47"/>
      <c r="I51" s="41"/>
      <c r="J51" s="41"/>
      <c r="K51" s="41"/>
      <c r="L51" s="41"/>
      <c r="M51" s="37"/>
    </row>
    <row r="52" spans="1:13" ht="14.1" customHeight="1" x14ac:dyDescent="0.25">
      <c r="A52" s="73" t="s">
        <v>69</v>
      </c>
      <c r="B52" s="74"/>
      <c r="C52" s="74"/>
      <c r="D52" s="74"/>
      <c r="E52" s="75"/>
      <c r="F52" s="30"/>
      <c r="G52" s="46"/>
      <c r="H52" s="47"/>
      <c r="I52" s="41"/>
      <c r="J52" s="41"/>
      <c r="K52" s="41"/>
      <c r="L52" s="41"/>
      <c r="M52" s="37"/>
    </row>
    <row r="53" spans="1:13" ht="14.1" customHeight="1" thickBot="1" x14ac:dyDescent="0.3">
      <c r="A53" s="88"/>
      <c r="B53" s="89"/>
      <c r="C53" s="90" t="s">
        <v>44</v>
      </c>
      <c r="D53" s="91"/>
      <c r="E53" s="54" t="s">
        <v>64</v>
      </c>
      <c r="F53" s="30"/>
      <c r="G53" s="92"/>
      <c r="H53" s="93"/>
      <c r="I53" s="93"/>
      <c r="J53" s="93"/>
      <c r="K53" s="93"/>
      <c r="L53" s="93"/>
      <c r="M53" s="94"/>
    </row>
    <row r="54" spans="1:13" ht="14.1" customHeight="1" x14ac:dyDescent="0.25">
      <c r="F54" s="30"/>
    </row>
    <row r="55" spans="1:13" ht="15" customHeight="1" x14ac:dyDescent="0.25"/>
  </sheetData>
  <mergeCells count="107">
    <mergeCell ref="H1:I1"/>
    <mergeCell ref="H6:I6"/>
    <mergeCell ref="H7:I7"/>
    <mergeCell ref="H8:I8"/>
    <mergeCell ref="G4:G5"/>
    <mergeCell ref="H4:I5"/>
    <mergeCell ref="G2:G3"/>
    <mergeCell ref="K13:M13"/>
    <mergeCell ref="K14:M14"/>
    <mergeCell ref="K3:M3"/>
    <mergeCell ref="K6:M6"/>
    <mergeCell ref="K7:M7"/>
    <mergeCell ref="K8:M8"/>
    <mergeCell ref="K9:M9"/>
    <mergeCell ref="K10:M10"/>
    <mergeCell ref="H2:I3"/>
    <mergeCell ref="A10:D10"/>
    <mergeCell ref="A11:D11"/>
    <mergeCell ref="K12:M12"/>
    <mergeCell ref="K11:M11"/>
    <mergeCell ref="G11:I11"/>
    <mergeCell ref="G12:I12"/>
    <mergeCell ref="G13:I13"/>
    <mergeCell ref="G14:I14"/>
    <mergeCell ref="G15:I15"/>
    <mergeCell ref="K15:M15"/>
    <mergeCell ref="A23:E23"/>
    <mergeCell ref="A22:E22"/>
    <mergeCell ref="A28:C28"/>
    <mergeCell ref="A25:E25"/>
    <mergeCell ref="D38:E39"/>
    <mergeCell ref="A20:D20"/>
    <mergeCell ref="A16:B16"/>
    <mergeCell ref="B42:B43"/>
    <mergeCell ref="B44:B45"/>
    <mergeCell ref="A7:D7"/>
    <mergeCell ref="A1:E4"/>
    <mergeCell ref="A38:C38"/>
    <mergeCell ref="A39:C39"/>
    <mergeCell ref="A37:C37"/>
    <mergeCell ref="A36:C36"/>
    <mergeCell ref="A35:C35"/>
    <mergeCell ref="A34:C34"/>
    <mergeCell ref="A33:C33"/>
    <mergeCell ref="A32:C32"/>
    <mergeCell ref="A26:C27"/>
    <mergeCell ref="D26:E27"/>
    <mergeCell ref="E18:E19"/>
    <mergeCell ref="D18:D19"/>
    <mergeCell ref="E14:E15"/>
    <mergeCell ref="D32:E33"/>
    <mergeCell ref="D34:E35"/>
    <mergeCell ref="D36:E37"/>
    <mergeCell ref="A12:B12"/>
    <mergeCell ref="A8:D8"/>
    <mergeCell ref="E10:E11"/>
    <mergeCell ref="A29:C29"/>
    <mergeCell ref="A30:C30"/>
    <mergeCell ref="D28:E29"/>
    <mergeCell ref="I27:M29"/>
    <mergeCell ref="K21:M21"/>
    <mergeCell ref="B46:B47"/>
    <mergeCell ref="B48:B49"/>
    <mergeCell ref="A21:E21"/>
    <mergeCell ref="A31:C31"/>
    <mergeCell ref="A48:A49"/>
    <mergeCell ref="C48:C49"/>
    <mergeCell ref="D48:D49"/>
    <mergeCell ref="E48:E49"/>
    <mergeCell ref="E46:E47"/>
    <mergeCell ref="D46:D47"/>
    <mergeCell ref="C46:C47"/>
    <mergeCell ref="A41:E41"/>
    <mergeCell ref="A46:A47"/>
    <mergeCell ref="C44:C45"/>
    <mergeCell ref="E44:E45"/>
    <mergeCell ref="D44:D45"/>
    <mergeCell ref="C42:C43"/>
    <mergeCell ref="D42:D43"/>
    <mergeCell ref="E42:E43"/>
    <mergeCell ref="A42:A43"/>
    <mergeCell ref="A44:A45"/>
    <mergeCell ref="D30:E31"/>
    <mergeCell ref="A52:E52"/>
    <mergeCell ref="A15:D15"/>
    <mergeCell ref="A19:C19"/>
    <mergeCell ref="G16:I16"/>
    <mergeCell ref="K2:M2"/>
    <mergeCell ref="G10:I10"/>
    <mergeCell ref="A53:B53"/>
    <mergeCell ref="C53:D53"/>
    <mergeCell ref="G40:M40"/>
    <mergeCell ref="B5:D5"/>
    <mergeCell ref="G47:M47"/>
    <mergeCell ref="G48:M48"/>
    <mergeCell ref="G49:M49"/>
    <mergeCell ref="G19:I19"/>
    <mergeCell ref="G17:I17"/>
    <mergeCell ref="G18:I18"/>
    <mergeCell ref="G20:I20"/>
    <mergeCell ref="G21:I21"/>
    <mergeCell ref="G53:M53"/>
    <mergeCell ref="K16:M16"/>
    <mergeCell ref="K17:M17"/>
    <mergeCell ref="K18:M18"/>
    <mergeCell ref="K19:M19"/>
    <mergeCell ref="K20:M20"/>
  </mergeCells>
  <phoneticPr fontId="4" type="noConversion"/>
  <pageMargins left="0.25" right="0.2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5F8B8-F644-45DE-A35A-1D709A5732D7}">
  <dimension ref="A1:K46"/>
  <sheetViews>
    <sheetView topLeftCell="A15" zoomScale="130" zoomScaleNormal="130" workbookViewId="0">
      <selection activeCell="A20" sqref="A20:I20"/>
    </sheetView>
  </sheetViews>
  <sheetFormatPr baseColWidth="10" defaultRowHeight="15" x14ac:dyDescent="0.25"/>
  <cols>
    <col min="1" max="9" width="10" customWidth="1"/>
  </cols>
  <sheetData>
    <row r="1" spans="1:11" ht="15.75" thickBot="1" x14ac:dyDescent="0.3">
      <c r="A1" s="209" t="s">
        <v>62</v>
      </c>
      <c r="B1" s="210"/>
      <c r="C1" s="210"/>
      <c r="D1" s="211"/>
    </row>
    <row r="2" spans="1:11" ht="15" customHeight="1" x14ac:dyDescent="0.25">
      <c r="A2" s="214"/>
      <c r="B2" s="215"/>
      <c r="C2" s="215"/>
      <c r="D2" s="215"/>
      <c r="E2" s="215"/>
      <c r="F2" s="215"/>
      <c r="G2" s="215"/>
      <c r="H2" s="215"/>
      <c r="I2" s="216"/>
    </row>
    <row r="3" spans="1:11" ht="15" customHeight="1" x14ac:dyDescent="0.25">
      <c r="A3" s="201"/>
      <c r="B3" s="253"/>
      <c r="C3" s="253"/>
      <c r="D3" s="253"/>
      <c r="E3" s="253"/>
      <c r="F3" s="253"/>
      <c r="G3" s="253"/>
      <c r="H3" s="253"/>
      <c r="I3" s="202"/>
    </row>
    <row r="4" spans="1:11" x14ac:dyDescent="0.25">
      <c r="A4" s="212"/>
      <c r="B4" s="251"/>
      <c r="C4" s="251"/>
      <c r="D4" s="251"/>
      <c r="E4" s="251"/>
      <c r="F4" s="251"/>
      <c r="G4" s="251"/>
      <c r="H4" s="251"/>
      <c r="I4" s="213"/>
    </row>
    <row r="5" spans="1:11" ht="15" customHeight="1" x14ac:dyDescent="0.25">
      <c r="A5" s="212"/>
      <c r="B5" s="251"/>
      <c r="C5" s="251"/>
      <c r="D5" s="251"/>
      <c r="E5" s="251"/>
      <c r="F5" s="251"/>
      <c r="G5" s="251"/>
      <c r="H5" s="251"/>
      <c r="I5" s="213"/>
    </row>
    <row r="6" spans="1:11" x14ac:dyDescent="0.25">
      <c r="A6" s="212"/>
      <c r="B6" s="251"/>
      <c r="C6" s="251"/>
      <c r="D6" s="251"/>
      <c r="E6" s="251"/>
      <c r="F6" s="251"/>
      <c r="G6" s="251"/>
      <c r="H6" s="251"/>
      <c r="I6" s="213"/>
    </row>
    <row r="7" spans="1:11" ht="15" customHeight="1" x14ac:dyDescent="0.25">
      <c r="A7" s="212"/>
      <c r="B7" s="251"/>
      <c r="C7" s="251"/>
      <c r="D7" s="251"/>
      <c r="E7" s="251"/>
      <c r="F7" s="251"/>
      <c r="G7" s="251"/>
      <c r="H7" s="251"/>
      <c r="I7" s="213"/>
    </row>
    <row r="8" spans="1:11" ht="15" customHeight="1" x14ac:dyDescent="0.25">
      <c r="A8" s="254" t="s">
        <v>86</v>
      </c>
      <c r="B8" s="252"/>
      <c r="C8" s="252"/>
      <c r="D8" s="252"/>
      <c r="E8" s="252"/>
      <c r="F8" s="252"/>
      <c r="G8" s="252"/>
      <c r="H8" s="252"/>
      <c r="I8" s="255"/>
      <c r="K8" s="72"/>
    </row>
    <row r="9" spans="1:11" ht="15" customHeight="1" x14ac:dyDescent="0.25">
      <c r="A9" s="203" t="s">
        <v>90</v>
      </c>
      <c r="B9" s="250"/>
      <c r="C9" s="250"/>
      <c r="D9" s="250"/>
      <c r="E9" s="250"/>
      <c r="F9" s="250"/>
      <c r="G9" s="250"/>
      <c r="H9" s="250"/>
      <c r="I9" s="205"/>
    </row>
    <row r="10" spans="1:11" ht="15" customHeight="1" x14ac:dyDescent="0.25">
      <c r="A10" s="203"/>
      <c r="B10" s="250"/>
      <c r="C10" s="250"/>
      <c r="D10" s="250"/>
      <c r="E10" s="250"/>
      <c r="F10" s="250"/>
      <c r="G10" s="250"/>
      <c r="H10" s="250"/>
      <c r="I10" s="205"/>
    </row>
    <row r="11" spans="1:11" ht="15" customHeight="1" x14ac:dyDescent="0.25">
      <c r="A11" s="198"/>
      <c r="B11" s="199"/>
      <c r="C11" s="199"/>
      <c r="D11" s="199"/>
      <c r="E11" s="199"/>
      <c r="F11" s="199"/>
      <c r="G11" s="199"/>
      <c r="H11" s="199"/>
      <c r="I11" s="200"/>
    </row>
    <row r="12" spans="1:11" ht="15" customHeight="1" x14ac:dyDescent="0.25">
      <c r="A12" s="254" t="s">
        <v>82</v>
      </c>
      <c r="B12" s="252"/>
      <c r="C12" s="252"/>
      <c r="D12" s="252"/>
      <c r="E12" s="252"/>
      <c r="F12" s="252"/>
      <c r="G12" s="252"/>
      <c r="H12" s="252"/>
      <c r="I12" s="255"/>
    </row>
    <row r="13" spans="1:11" ht="15" customHeight="1" x14ac:dyDescent="0.25">
      <c r="A13" s="203" t="s">
        <v>85</v>
      </c>
      <c r="B13" s="250"/>
      <c r="C13" s="250"/>
      <c r="D13" s="250"/>
      <c r="E13" s="250"/>
      <c r="F13" s="250"/>
      <c r="G13" s="250"/>
      <c r="H13" s="250"/>
      <c r="I13" s="205"/>
      <c r="J13" s="72"/>
    </row>
    <row r="14" spans="1:11" x14ac:dyDescent="0.25">
      <c r="A14" s="198"/>
      <c r="B14" s="199"/>
      <c r="C14" s="199"/>
      <c r="D14" s="199"/>
      <c r="E14" s="199"/>
      <c r="F14" s="199"/>
      <c r="G14" s="199"/>
      <c r="H14" s="199"/>
      <c r="I14" s="200"/>
    </row>
    <row r="15" spans="1:11" ht="15" customHeight="1" x14ac:dyDescent="0.25">
      <c r="A15" s="196" t="s">
        <v>47</v>
      </c>
      <c r="B15" s="256"/>
      <c r="C15" s="256"/>
      <c r="D15" s="256"/>
      <c r="E15" s="256"/>
      <c r="F15" s="256"/>
      <c r="G15" s="256"/>
      <c r="H15" s="256"/>
      <c r="I15" s="197"/>
    </row>
    <row r="16" spans="1:11" ht="15" customHeight="1" x14ac:dyDescent="0.25">
      <c r="A16" s="203" t="s">
        <v>74</v>
      </c>
      <c r="B16" s="250"/>
      <c r="C16" s="250"/>
      <c r="D16" s="250"/>
      <c r="E16" s="250"/>
      <c r="F16" s="250"/>
      <c r="G16" s="250"/>
      <c r="H16" s="250"/>
      <c r="I16" s="205"/>
    </row>
    <row r="17" spans="1:9" ht="15" customHeight="1" x14ac:dyDescent="0.25">
      <c r="A17" s="203"/>
      <c r="B17" s="250"/>
      <c r="C17" s="250"/>
      <c r="D17" s="250"/>
      <c r="E17" s="250"/>
      <c r="F17" s="250"/>
      <c r="G17" s="250"/>
      <c r="H17" s="250"/>
      <c r="I17" s="205"/>
    </row>
    <row r="18" spans="1:9" x14ac:dyDescent="0.25">
      <c r="A18" s="203"/>
      <c r="B18" s="250"/>
      <c r="C18" s="250"/>
      <c r="D18" s="250"/>
      <c r="E18" s="250"/>
      <c r="F18" s="250"/>
      <c r="G18" s="250"/>
      <c r="H18" s="250"/>
      <c r="I18" s="205"/>
    </row>
    <row r="19" spans="1:9" ht="15" customHeight="1" x14ac:dyDescent="0.25">
      <c r="A19" s="203"/>
      <c r="B19" s="250"/>
      <c r="C19" s="250"/>
      <c r="D19" s="250"/>
      <c r="E19" s="250"/>
      <c r="F19" s="250"/>
      <c r="G19" s="250"/>
      <c r="H19" s="250"/>
      <c r="I19" s="205"/>
    </row>
    <row r="20" spans="1:9" ht="15" customHeight="1" x14ac:dyDescent="0.25">
      <c r="A20" s="206" t="s">
        <v>87</v>
      </c>
      <c r="B20" s="207"/>
      <c r="C20" s="207"/>
      <c r="D20" s="207"/>
      <c r="E20" s="207"/>
      <c r="F20" s="207"/>
      <c r="G20" s="207"/>
      <c r="H20" s="207"/>
      <c r="I20" s="208"/>
    </row>
    <row r="21" spans="1:9" ht="15" customHeight="1" x14ac:dyDescent="0.25">
      <c r="A21" s="220" t="s">
        <v>84</v>
      </c>
      <c r="B21" s="257"/>
      <c r="C21" s="257"/>
      <c r="D21" s="257"/>
      <c r="E21" s="257"/>
      <c r="F21" s="257"/>
      <c r="G21" s="257"/>
      <c r="H21" s="257"/>
      <c r="I21" s="221"/>
    </row>
    <row r="22" spans="1:9" ht="15" customHeight="1" x14ac:dyDescent="0.25">
      <c r="A22" s="220"/>
      <c r="B22" s="257"/>
      <c r="C22" s="257"/>
      <c r="D22" s="257"/>
      <c r="E22" s="257"/>
      <c r="F22" s="257"/>
      <c r="G22" s="257"/>
      <c r="H22" s="257"/>
      <c r="I22" s="221"/>
    </row>
    <row r="23" spans="1:9" x14ac:dyDescent="0.25">
      <c r="A23" s="222"/>
      <c r="B23" s="258"/>
      <c r="C23" s="258"/>
      <c r="D23" s="258"/>
      <c r="E23" s="258"/>
      <c r="F23" s="258"/>
      <c r="G23" s="258"/>
      <c r="H23" s="258"/>
      <c r="I23" s="223"/>
    </row>
    <row r="24" spans="1:9" x14ac:dyDescent="0.25">
      <c r="A24" s="222"/>
      <c r="B24" s="258"/>
      <c r="C24" s="258"/>
      <c r="D24" s="258"/>
      <c r="E24" s="258"/>
      <c r="F24" s="258"/>
      <c r="G24" s="258"/>
      <c r="H24" s="258"/>
      <c r="I24" s="223"/>
    </row>
    <row r="25" spans="1:9" x14ac:dyDescent="0.25">
      <c r="A25" s="222"/>
      <c r="B25" s="258"/>
      <c r="C25" s="258"/>
      <c r="D25" s="258"/>
      <c r="E25" s="258"/>
      <c r="F25" s="258"/>
      <c r="G25" s="258"/>
      <c r="H25" s="258"/>
      <c r="I25" s="223"/>
    </row>
    <row r="26" spans="1:9" ht="15" customHeight="1" x14ac:dyDescent="0.25">
      <c r="A26" s="201"/>
      <c r="B26" s="253"/>
      <c r="C26" s="253"/>
      <c r="D26" s="253"/>
      <c r="E26" s="253"/>
      <c r="F26" s="253"/>
      <c r="G26" s="253"/>
      <c r="H26" s="253"/>
      <c r="I26" s="202"/>
    </row>
    <row r="27" spans="1:9" x14ac:dyDescent="0.25">
      <c r="A27" s="201"/>
      <c r="B27" s="253"/>
      <c r="C27" s="253"/>
      <c r="D27" s="253"/>
      <c r="E27" s="253"/>
      <c r="F27" s="253"/>
      <c r="G27" s="253"/>
      <c r="H27" s="253"/>
      <c r="I27" s="202"/>
    </row>
    <row r="28" spans="1:9" ht="15" customHeight="1" x14ac:dyDescent="0.25">
      <c r="A28" s="201"/>
      <c r="B28" s="253"/>
      <c r="C28" s="253"/>
      <c r="D28" s="253"/>
      <c r="E28" s="253"/>
      <c r="F28" s="253"/>
      <c r="G28" s="253"/>
      <c r="H28" s="253"/>
      <c r="I28" s="202"/>
    </row>
    <row r="29" spans="1:9" ht="15" customHeight="1" x14ac:dyDescent="0.25">
      <c r="A29" s="201"/>
      <c r="B29" s="253"/>
      <c r="C29" s="253"/>
      <c r="D29" s="253"/>
      <c r="E29" s="253"/>
      <c r="F29" s="253"/>
      <c r="G29" s="253"/>
      <c r="H29" s="253"/>
      <c r="I29" s="202"/>
    </row>
    <row r="30" spans="1:9" x14ac:dyDescent="0.25">
      <c r="A30" s="201"/>
      <c r="B30" s="253"/>
      <c r="C30" s="253"/>
      <c r="D30" s="253"/>
      <c r="E30" s="253"/>
      <c r="F30" s="253"/>
      <c r="G30" s="253"/>
      <c r="H30" s="253"/>
      <c r="I30" s="202"/>
    </row>
    <row r="31" spans="1:9" x14ac:dyDescent="0.25">
      <c r="A31" s="201"/>
      <c r="B31" s="253"/>
      <c r="C31" s="253"/>
      <c r="D31" s="253"/>
      <c r="E31" s="253"/>
      <c r="F31" s="253"/>
      <c r="G31" s="253"/>
      <c r="H31" s="253"/>
      <c r="I31" s="202"/>
    </row>
    <row r="32" spans="1:9" x14ac:dyDescent="0.25">
      <c r="A32" s="201"/>
      <c r="B32" s="253"/>
      <c r="C32" s="253"/>
      <c r="D32" s="253"/>
      <c r="E32" s="253"/>
      <c r="F32" s="253"/>
      <c r="G32" s="253"/>
      <c r="H32" s="253"/>
      <c r="I32" s="202"/>
    </row>
    <row r="33" spans="1:9" x14ac:dyDescent="0.25">
      <c r="A33" s="201"/>
      <c r="B33" s="253"/>
      <c r="C33" s="253"/>
      <c r="D33" s="253"/>
      <c r="E33" s="253"/>
      <c r="F33" s="253"/>
      <c r="G33" s="253"/>
      <c r="H33" s="253"/>
      <c r="I33" s="202"/>
    </row>
    <row r="34" spans="1:9" x14ac:dyDescent="0.25">
      <c r="A34" s="201"/>
      <c r="B34" s="253"/>
      <c r="C34" s="253"/>
      <c r="D34" s="253"/>
      <c r="E34" s="253"/>
      <c r="F34" s="253"/>
      <c r="G34" s="253"/>
      <c r="H34" s="253"/>
      <c r="I34" s="202"/>
    </row>
    <row r="35" spans="1:9" x14ac:dyDescent="0.25">
      <c r="A35" s="201"/>
      <c r="B35" s="253"/>
      <c r="C35" s="253"/>
      <c r="D35" s="253"/>
      <c r="E35" s="253"/>
      <c r="F35" s="253"/>
      <c r="G35" s="253"/>
      <c r="H35" s="253"/>
      <c r="I35" s="202"/>
    </row>
    <row r="36" spans="1:9" x14ac:dyDescent="0.25">
      <c r="A36" s="201"/>
      <c r="B36" s="253"/>
      <c r="C36" s="253"/>
      <c r="D36" s="253"/>
      <c r="E36" s="253"/>
      <c r="F36" s="253"/>
      <c r="G36" s="253"/>
      <c r="H36" s="253"/>
      <c r="I36" s="202"/>
    </row>
    <row r="37" spans="1:9" x14ac:dyDescent="0.25">
      <c r="A37" s="201"/>
      <c r="B37" s="253"/>
      <c r="C37" s="253"/>
      <c r="D37" s="253"/>
      <c r="E37" s="253"/>
      <c r="F37" s="253"/>
      <c r="G37" s="253"/>
      <c r="H37" s="253"/>
      <c r="I37" s="202"/>
    </row>
    <row r="38" spans="1:9" x14ac:dyDescent="0.25">
      <c r="A38" s="201"/>
      <c r="B38" s="253"/>
      <c r="C38" s="253"/>
      <c r="D38" s="253"/>
      <c r="E38" s="253"/>
      <c r="F38" s="253"/>
      <c r="G38" s="253"/>
      <c r="H38" s="253"/>
      <c r="I38" s="202"/>
    </row>
    <row r="39" spans="1:9" x14ac:dyDescent="0.25">
      <c r="A39" s="201"/>
      <c r="B39" s="253"/>
      <c r="C39" s="253"/>
      <c r="D39" s="253"/>
      <c r="E39" s="253"/>
      <c r="F39" s="253"/>
      <c r="G39" s="253"/>
      <c r="H39" s="253"/>
      <c r="I39" s="202"/>
    </row>
    <row r="40" spans="1:9" x14ac:dyDescent="0.25">
      <c r="A40" s="201"/>
      <c r="B40" s="253"/>
      <c r="C40" s="253"/>
      <c r="D40" s="253"/>
      <c r="E40" s="253"/>
      <c r="F40" s="253"/>
      <c r="G40" s="253"/>
      <c r="H40" s="253"/>
      <c r="I40" s="202"/>
    </row>
    <row r="41" spans="1:9" x14ac:dyDescent="0.25">
      <c r="A41" s="201"/>
      <c r="B41" s="253"/>
      <c r="C41" s="253"/>
      <c r="D41" s="253"/>
      <c r="E41" s="253"/>
      <c r="F41" s="253"/>
      <c r="G41" s="253"/>
      <c r="H41" s="253"/>
      <c r="I41" s="202"/>
    </row>
    <row r="42" spans="1:9" x14ac:dyDescent="0.25">
      <c r="A42" s="201"/>
      <c r="B42" s="253"/>
      <c r="C42" s="253"/>
      <c r="D42" s="253"/>
      <c r="E42" s="253"/>
      <c r="F42" s="253"/>
      <c r="G42" s="253"/>
      <c r="H42" s="253"/>
      <c r="I42" s="202"/>
    </row>
    <row r="43" spans="1:9" x14ac:dyDescent="0.25">
      <c r="A43" s="201"/>
      <c r="B43" s="253"/>
      <c r="C43" s="253"/>
      <c r="D43" s="253"/>
      <c r="E43" s="253"/>
      <c r="F43" s="253"/>
      <c r="G43" s="253"/>
      <c r="H43" s="253"/>
      <c r="I43" s="202"/>
    </row>
    <row r="44" spans="1:9" x14ac:dyDescent="0.25">
      <c r="A44" s="201"/>
      <c r="B44" s="253"/>
      <c r="C44" s="253"/>
      <c r="D44" s="253"/>
      <c r="E44" s="253"/>
      <c r="F44" s="253"/>
      <c r="G44" s="253"/>
      <c r="H44" s="253"/>
      <c r="I44" s="202"/>
    </row>
    <row r="45" spans="1:9" x14ac:dyDescent="0.25">
      <c r="A45" s="201"/>
      <c r="B45" s="253"/>
      <c r="C45" s="253"/>
      <c r="D45" s="253"/>
      <c r="E45" s="253"/>
      <c r="F45" s="253"/>
      <c r="G45" s="253"/>
      <c r="H45" s="253"/>
      <c r="I45" s="202"/>
    </row>
    <row r="46" spans="1:9" ht="15.75" thickBot="1" x14ac:dyDescent="0.3">
      <c r="A46" s="217"/>
      <c r="B46" s="218"/>
      <c r="C46" s="218"/>
      <c r="D46" s="218"/>
      <c r="E46" s="218"/>
      <c r="F46" s="218"/>
      <c r="G46" s="218"/>
      <c r="H46" s="218"/>
      <c r="I46" s="219"/>
    </row>
  </sheetData>
  <mergeCells count="35">
    <mergeCell ref="A9:I11"/>
    <mergeCell ref="A13:I14"/>
    <mergeCell ref="A7:I7"/>
    <mergeCell ref="A46:I46"/>
    <mergeCell ref="A21:I22"/>
    <mergeCell ref="A23:I25"/>
    <mergeCell ref="A41:I41"/>
    <mergeCell ref="A42:I42"/>
    <mergeCell ref="A43:I43"/>
    <mergeCell ref="A44:I44"/>
    <mergeCell ref="A45:I45"/>
    <mergeCell ref="A36:I36"/>
    <mergeCell ref="A37:I37"/>
    <mergeCell ref="A38:I38"/>
    <mergeCell ref="A39:I39"/>
    <mergeCell ref="A40:I40"/>
    <mergeCell ref="A31:I31"/>
    <mergeCell ref="A1:D1"/>
    <mergeCell ref="A4:I4"/>
    <mergeCell ref="A2:I2"/>
    <mergeCell ref="A3:I3"/>
    <mergeCell ref="A6:I6"/>
    <mergeCell ref="A5:I5"/>
    <mergeCell ref="A35:I35"/>
    <mergeCell ref="A26:I26"/>
    <mergeCell ref="A27:I27"/>
    <mergeCell ref="A29:I29"/>
    <mergeCell ref="A28:I28"/>
    <mergeCell ref="A33:I33"/>
    <mergeCell ref="A34:I34"/>
    <mergeCell ref="A30:I30"/>
    <mergeCell ref="A16:I19"/>
    <mergeCell ref="A20:I20"/>
    <mergeCell ref="A15:I15"/>
    <mergeCell ref="A32:I32"/>
  </mergeCells>
  <pageMargins left="0.25" right="0.25"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52ED7-B55C-4544-B1B9-4049608F227A}">
  <dimension ref="A1:K29"/>
  <sheetViews>
    <sheetView zoomScale="130" zoomScaleNormal="130" workbookViewId="0">
      <selection sqref="A1:D1"/>
    </sheetView>
  </sheetViews>
  <sheetFormatPr baseColWidth="10" defaultRowHeight="15" x14ac:dyDescent="0.25"/>
  <cols>
    <col min="1" max="9" width="10" customWidth="1"/>
  </cols>
  <sheetData>
    <row r="1" spans="1:11" ht="16.5" thickBot="1" x14ac:dyDescent="0.3">
      <c r="A1" s="233" t="s">
        <v>51</v>
      </c>
      <c r="B1" s="234"/>
      <c r="C1" s="234"/>
      <c r="D1" s="235"/>
      <c r="E1" s="241" t="s">
        <v>75</v>
      </c>
      <c r="F1" s="242"/>
    </row>
    <row r="2" spans="1:11" x14ac:dyDescent="0.25">
      <c r="A2" s="214" t="s">
        <v>48</v>
      </c>
      <c r="B2" s="215"/>
      <c r="C2" s="215"/>
      <c r="D2" s="215"/>
      <c r="E2" s="215"/>
      <c r="F2" s="215"/>
      <c r="G2" s="215"/>
      <c r="H2" s="215"/>
      <c r="I2" s="216"/>
    </row>
    <row r="3" spans="1:11" x14ac:dyDescent="0.25">
      <c r="A3" s="224" t="s">
        <v>49</v>
      </c>
      <c r="B3" s="225"/>
      <c r="C3" s="225"/>
      <c r="D3" s="225"/>
      <c r="E3" s="225"/>
      <c r="F3" s="225"/>
      <c r="G3" s="225"/>
      <c r="H3" s="225"/>
      <c r="I3" s="226"/>
      <c r="K3" s="72"/>
    </row>
    <row r="4" spans="1:11" x14ac:dyDescent="0.25">
      <c r="A4" s="206" t="s">
        <v>18</v>
      </c>
      <c r="B4" s="207"/>
      <c r="C4" s="207"/>
      <c r="D4" s="207"/>
      <c r="E4" s="207"/>
      <c r="F4" s="207"/>
      <c r="G4" s="207"/>
      <c r="H4" s="207"/>
      <c r="I4" s="208"/>
    </row>
    <row r="5" spans="1:11" ht="15.75" thickBot="1" x14ac:dyDescent="0.3">
      <c r="A5" s="60" t="s">
        <v>76</v>
      </c>
      <c r="B5" s="61"/>
      <c r="C5" s="61"/>
      <c r="D5" s="61"/>
      <c r="E5" s="61"/>
      <c r="F5" s="61"/>
      <c r="G5" s="61"/>
      <c r="H5" s="61"/>
      <c r="I5" s="62"/>
    </row>
    <row r="6" spans="1:11" ht="15" customHeight="1" x14ac:dyDescent="0.25">
      <c r="A6" s="64" t="s">
        <v>77</v>
      </c>
      <c r="B6" s="56"/>
      <c r="C6" s="56"/>
      <c r="D6" s="56"/>
      <c r="E6" s="63"/>
      <c r="F6" s="56"/>
      <c r="G6" s="56"/>
      <c r="H6" s="56"/>
      <c r="I6" s="57"/>
    </row>
    <row r="7" spans="1:11" ht="15" customHeight="1" x14ac:dyDescent="0.25">
      <c r="A7" s="203" t="s">
        <v>83</v>
      </c>
      <c r="B7" s="250"/>
      <c r="C7" s="250"/>
      <c r="D7" s="250"/>
      <c r="E7" s="250"/>
      <c r="F7" s="250"/>
      <c r="G7" s="250"/>
      <c r="H7" s="250"/>
      <c r="I7" s="205"/>
    </row>
    <row r="8" spans="1:11" x14ac:dyDescent="0.25">
      <c r="A8" s="203"/>
      <c r="B8" s="250"/>
      <c r="C8" s="250"/>
      <c r="D8" s="250"/>
      <c r="E8" s="250"/>
      <c r="F8" s="250"/>
      <c r="G8" s="250"/>
      <c r="H8" s="250"/>
      <c r="I8" s="205"/>
    </row>
    <row r="9" spans="1:11" x14ac:dyDescent="0.25">
      <c r="A9" s="198"/>
      <c r="B9" s="199"/>
      <c r="C9" s="199"/>
      <c r="D9" s="199"/>
      <c r="E9" s="199"/>
      <c r="F9" s="199"/>
      <c r="G9" s="199"/>
      <c r="H9" s="199"/>
      <c r="I9" s="200"/>
    </row>
    <row r="10" spans="1:11" ht="15" customHeight="1" x14ac:dyDescent="0.25">
      <c r="A10" s="227" t="s">
        <v>52</v>
      </c>
      <c r="B10" s="228"/>
      <c r="C10" s="228"/>
      <c r="D10" s="228"/>
      <c r="E10" s="228"/>
      <c r="F10" s="228"/>
      <c r="G10" s="228"/>
      <c r="H10" s="228"/>
      <c r="I10" s="229"/>
    </row>
    <row r="11" spans="1:11" ht="15" customHeight="1" x14ac:dyDescent="0.25">
      <c r="A11" s="198" t="s">
        <v>88</v>
      </c>
      <c r="B11" s="199"/>
      <c r="C11" s="199"/>
      <c r="D11" s="199"/>
      <c r="E11" s="199"/>
      <c r="F11" s="199"/>
      <c r="G11" s="199"/>
      <c r="H11" s="199"/>
      <c r="I11" s="200"/>
    </row>
    <row r="12" spans="1:11" ht="15" customHeight="1" x14ac:dyDescent="0.25">
      <c r="A12" s="239" t="s">
        <v>53</v>
      </c>
      <c r="B12" s="259"/>
      <c r="C12" s="259"/>
      <c r="D12" s="259"/>
      <c r="E12" s="259"/>
      <c r="F12" s="259"/>
      <c r="G12" s="259"/>
      <c r="H12" s="259"/>
      <c r="I12" s="240"/>
    </row>
    <row r="13" spans="1:11" ht="15" customHeight="1" thickBot="1" x14ac:dyDescent="0.3">
      <c r="A13" s="230" t="s">
        <v>89</v>
      </c>
      <c r="B13" s="231"/>
      <c r="C13" s="231"/>
      <c r="D13" s="231"/>
      <c r="E13" s="231"/>
      <c r="F13" s="231"/>
      <c r="G13" s="231"/>
      <c r="H13" s="231"/>
      <c r="I13" s="232"/>
    </row>
    <row r="14" spans="1:11" ht="15" customHeight="1" thickBot="1" x14ac:dyDescent="0.3"/>
    <row r="15" spans="1:11" ht="15" customHeight="1" thickBot="1" x14ac:dyDescent="0.3">
      <c r="A15" s="236" t="s">
        <v>54</v>
      </c>
      <c r="B15" s="237"/>
      <c r="C15" s="237"/>
      <c r="D15" s="238"/>
      <c r="E15" s="241" t="s">
        <v>75</v>
      </c>
      <c r="F15" s="242"/>
    </row>
    <row r="16" spans="1:11" ht="15" customHeight="1" x14ac:dyDescent="0.25">
      <c r="A16" s="214" t="s">
        <v>48</v>
      </c>
      <c r="B16" s="215"/>
      <c r="C16" s="215"/>
      <c r="D16" s="215"/>
      <c r="E16" s="215"/>
      <c r="F16" s="215"/>
      <c r="G16" s="215"/>
      <c r="H16" s="215"/>
      <c r="I16" s="216"/>
    </row>
    <row r="17" spans="1:9" x14ac:dyDescent="0.25">
      <c r="A17" s="224" t="s">
        <v>78</v>
      </c>
      <c r="B17" s="225"/>
      <c r="C17" s="225"/>
      <c r="D17" s="225"/>
      <c r="E17" s="225"/>
      <c r="F17" s="225"/>
      <c r="G17" s="225"/>
      <c r="H17" s="225"/>
      <c r="I17" s="226"/>
    </row>
    <row r="18" spans="1:9" x14ac:dyDescent="0.25">
      <c r="A18" s="60" t="s">
        <v>39</v>
      </c>
      <c r="B18" s="61"/>
      <c r="C18" s="61"/>
      <c r="D18" s="61"/>
      <c r="E18" s="61"/>
      <c r="F18" s="61"/>
      <c r="G18" s="61"/>
      <c r="H18" s="61"/>
      <c r="I18" s="62"/>
    </row>
    <row r="19" spans="1:9" x14ac:dyDescent="0.25">
      <c r="A19" s="60" t="s">
        <v>79</v>
      </c>
      <c r="B19" s="61"/>
      <c r="C19" s="61"/>
      <c r="D19" s="61"/>
      <c r="E19" s="61"/>
      <c r="F19" s="61"/>
      <c r="G19" s="61"/>
      <c r="H19" s="61"/>
      <c r="I19" s="62"/>
    </row>
    <row r="20" spans="1:9" x14ac:dyDescent="0.25">
      <c r="A20" s="206" t="s">
        <v>18</v>
      </c>
      <c r="B20" s="207"/>
      <c r="C20" s="207"/>
      <c r="D20" s="207"/>
      <c r="E20" s="207"/>
      <c r="F20" s="207"/>
      <c r="G20" s="207"/>
      <c r="H20" s="207"/>
      <c r="I20" s="208"/>
    </row>
    <row r="21" spans="1:9" ht="15.75" thickBot="1" x14ac:dyDescent="0.3">
      <c r="A21" s="60" t="s">
        <v>55</v>
      </c>
      <c r="B21" s="61"/>
      <c r="C21" s="61"/>
      <c r="D21" s="61"/>
      <c r="E21" s="61"/>
      <c r="F21" s="61"/>
      <c r="G21" s="61"/>
      <c r="H21" s="61"/>
      <c r="I21" s="62"/>
    </row>
    <row r="22" spans="1:9" x14ac:dyDescent="0.25">
      <c r="A22" s="64" t="s">
        <v>56</v>
      </c>
      <c r="B22" s="56"/>
      <c r="C22" s="56"/>
      <c r="D22" s="56"/>
      <c r="E22" s="63"/>
      <c r="F22" s="56"/>
      <c r="G22" s="56"/>
      <c r="H22" s="56"/>
      <c r="I22" s="57"/>
    </row>
    <row r="23" spans="1:9" ht="15" customHeight="1" x14ac:dyDescent="0.25">
      <c r="A23" s="203" t="s">
        <v>80</v>
      </c>
      <c r="B23" s="204"/>
      <c r="C23" s="204"/>
      <c r="D23" s="204"/>
      <c r="E23" s="204"/>
      <c r="F23" s="204"/>
      <c r="G23" s="204"/>
      <c r="H23" s="204"/>
      <c r="I23" s="205"/>
    </row>
    <row r="24" spans="1:9" x14ac:dyDescent="0.25">
      <c r="A24" s="203"/>
      <c r="B24" s="204"/>
      <c r="C24" s="204"/>
      <c r="D24" s="204"/>
      <c r="E24" s="204"/>
      <c r="F24" s="204"/>
      <c r="G24" s="204"/>
      <c r="H24" s="204"/>
      <c r="I24" s="205"/>
    </row>
    <row r="25" spans="1:9" x14ac:dyDescent="0.25">
      <c r="A25" s="203"/>
      <c r="B25" s="204"/>
      <c r="C25" s="204"/>
      <c r="D25" s="204"/>
      <c r="E25" s="204"/>
      <c r="F25" s="204"/>
      <c r="G25" s="204"/>
      <c r="H25" s="204"/>
      <c r="I25" s="205"/>
    </row>
    <row r="26" spans="1:9" x14ac:dyDescent="0.25">
      <c r="A26" s="227" t="s">
        <v>57</v>
      </c>
      <c r="B26" s="228"/>
      <c r="C26" s="228"/>
      <c r="D26" s="228"/>
      <c r="E26" s="228"/>
      <c r="F26" s="228"/>
      <c r="G26" s="228"/>
      <c r="H26" s="228"/>
      <c r="I26" s="229"/>
    </row>
    <row r="27" spans="1:9" ht="15" customHeight="1" x14ac:dyDescent="0.25">
      <c r="A27" s="203" t="s">
        <v>81</v>
      </c>
      <c r="B27" s="204"/>
      <c r="C27" s="204"/>
      <c r="D27" s="204"/>
      <c r="E27" s="204"/>
      <c r="F27" s="204"/>
      <c r="G27" s="204"/>
      <c r="H27" s="204"/>
      <c r="I27" s="205"/>
    </row>
    <row r="28" spans="1:9" ht="15" customHeight="1" x14ac:dyDescent="0.25">
      <c r="A28" s="203"/>
      <c r="B28" s="204"/>
      <c r="C28" s="204"/>
      <c r="D28" s="204"/>
      <c r="E28" s="204"/>
      <c r="F28" s="204"/>
      <c r="G28" s="204"/>
      <c r="H28" s="204"/>
      <c r="I28" s="205"/>
    </row>
    <row r="29" spans="1:9" ht="15" customHeight="1" thickBot="1" x14ac:dyDescent="0.3">
      <c r="A29" s="230"/>
      <c r="B29" s="231"/>
      <c r="C29" s="231"/>
      <c r="D29" s="231"/>
      <c r="E29" s="231"/>
      <c r="F29" s="231"/>
      <c r="G29" s="231"/>
      <c r="H29" s="231"/>
      <c r="I29" s="232"/>
    </row>
  </sheetData>
  <mergeCells count="18">
    <mergeCell ref="A1:D1"/>
    <mergeCell ref="A2:I2"/>
    <mergeCell ref="A3:I3"/>
    <mergeCell ref="A4:I4"/>
    <mergeCell ref="A15:D15"/>
    <mergeCell ref="A13:I13"/>
    <mergeCell ref="A7:I9"/>
    <mergeCell ref="A10:I10"/>
    <mergeCell ref="A11:I11"/>
    <mergeCell ref="A12:I12"/>
    <mergeCell ref="E1:F1"/>
    <mergeCell ref="E15:F15"/>
    <mergeCell ref="A16:I16"/>
    <mergeCell ref="A17:I17"/>
    <mergeCell ref="A20:I20"/>
    <mergeCell ref="A26:I26"/>
    <mergeCell ref="A27:I29"/>
    <mergeCell ref="A23:I25"/>
  </mergeCells>
  <pageMargins left="0.25" right="0.25"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6F263-14D8-4D9D-9F1C-38D517351AAE}">
  <dimension ref="A1:O8"/>
  <sheetViews>
    <sheetView workbookViewId="0">
      <selection activeCell="E19" sqref="E19"/>
    </sheetView>
  </sheetViews>
  <sheetFormatPr baseColWidth="10" defaultRowHeight="15" x14ac:dyDescent="0.25"/>
  <cols>
    <col min="1" max="1" width="10" customWidth="1"/>
    <col min="2" max="2" width="6.7109375" customWidth="1"/>
    <col min="3" max="3" width="9.42578125" customWidth="1"/>
    <col min="4" max="4" width="4.28515625" customWidth="1"/>
    <col min="5" max="5" width="8" customWidth="1"/>
    <col min="6" max="6" width="9.28515625" customWidth="1"/>
    <col min="7" max="7" width="10.85546875" customWidth="1"/>
    <col min="8" max="8" width="8.85546875" customWidth="1"/>
    <col min="9" max="9" width="9.7109375" customWidth="1"/>
    <col min="10" max="11" width="8.140625" customWidth="1"/>
    <col min="12" max="12" width="4.7109375" customWidth="1"/>
    <col min="13" max="14" width="9.42578125" customWidth="1"/>
    <col min="15" max="15" width="11.7109375" customWidth="1"/>
    <col min="16" max="16" width="9.7109375" customWidth="1"/>
    <col min="18" max="18" width="12.42578125" customWidth="1"/>
  </cols>
  <sheetData>
    <row r="1" spans="1:15" ht="15" customHeight="1" thickBot="1" x14ac:dyDescent="0.3">
      <c r="A1" s="244" t="s">
        <v>0</v>
      </c>
      <c r="B1" s="245"/>
      <c r="C1" s="246"/>
      <c r="E1" s="244" t="s">
        <v>9</v>
      </c>
      <c r="F1" s="245"/>
      <c r="G1" s="246"/>
      <c r="H1" s="243"/>
      <c r="I1" s="243"/>
      <c r="J1" s="1"/>
    </row>
    <row r="2" spans="1:15" ht="15" customHeight="1" thickBot="1" x14ac:dyDescent="0.3">
      <c r="A2" s="19"/>
      <c r="B2" s="21" t="s">
        <v>10</v>
      </c>
      <c r="C2" s="21" t="s">
        <v>11</v>
      </c>
      <c r="E2" s="19"/>
      <c r="F2" s="21" t="s">
        <v>10</v>
      </c>
      <c r="G2" s="20" t="s">
        <v>11</v>
      </c>
      <c r="H2" s="1"/>
      <c r="I2" s="1"/>
      <c r="J2" s="1"/>
    </row>
    <row r="3" spans="1:15" ht="15" customHeight="1" thickBot="1" x14ac:dyDescent="0.3">
      <c r="A3" s="6" t="s">
        <v>1</v>
      </c>
      <c r="B3" s="7">
        <v>0</v>
      </c>
      <c r="C3" s="8">
        <v>0</v>
      </c>
      <c r="E3" s="23" t="s">
        <v>1</v>
      </c>
      <c r="F3" s="5">
        <v>0</v>
      </c>
      <c r="G3" s="12">
        <v>0</v>
      </c>
      <c r="N3" s="248" t="s">
        <v>10</v>
      </c>
      <c r="O3" s="246" t="s">
        <v>15</v>
      </c>
    </row>
    <row r="4" spans="1:15" ht="15" customHeight="1" thickBot="1" x14ac:dyDescent="0.3">
      <c r="A4" s="6" t="s">
        <v>2</v>
      </c>
      <c r="B4" s="7">
        <v>0</v>
      </c>
      <c r="C4" s="8">
        <v>0</v>
      </c>
      <c r="E4" s="10" t="s">
        <v>2</v>
      </c>
      <c r="F4" s="11">
        <v>0</v>
      </c>
      <c r="G4" s="8">
        <v>0</v>
      </c>
      <c r="M4" s="27"/>
      <c r="N4" s="249"/>
      <c r="O4" s="247"/>
    </row>
    <row r="5" spans="1:15" ht="15" customHeight="1" thickBot="1" x14ac:dyDescent="0.3">
      <c r="A5" s="6" t="s">
        <v>3</v>
      </c>
      <c r="B5" s="7">
        <v>0</v>
      </c>
      <c r="C5" s="8">
        <v>0</v>
      </c>
      <c r="E5" s="17"/>
      <c r="F5" s="22"/>
      <c r="G5" s="18"/>
      <c r="J5" s="21" t="s">
        <v>10</v>
      </c>
      <c r="K5" s="21" t="s">
        <v>16</v>
      </c>
      <c r="M5" s="2" t="s">
        <v>13</v>
      </c>
      <c r="N5" s="28">
        <v>0</v>
      </c>
      <c r="O5" s="29">
        <v>0</v>
      </c>
    </row>
    <row r="6" spans="1:15" ht="15" customHeight="1" thickBot="1" x14ac:dyDescent="0.3">
      <c r="A6" s="14" t="s">
        <v>4</v>
      </c>
      <c r="B6" s="15">
        <v>0</v>
      </c>
      <c r="C6" s="12">
        <v>0</v>
      </c>
      <c r="E6" s="17"/>
      <c r="F6" s="22"/>
      <c r="G6" s="18"/>
      <c r="I6" s="2" t="s">
        <v>8</v>
      </c>
      <c r="J6" s="26">
        <v>0</v>
      </c>
      <c r="K6" s="4" t="s">
        <v>12</v>
      </c>
      <c r="M6" s="2" t="s">
        <v>14</v>
      </c>
      <c r="N6" s="26">
        <v>0</v>
      </c>
      <c r="O6" s="3">
        <v>0</v>
      </c>
    </row>
    <row r="7" spans="1:15" ht="15" customHeight="1" thickBot="1" x14ac:dyDescent="0.3">
      <c r="A7" s="10" t="s">
        <v>5</v>
      </c>
      <c r="B7" s="11">
        <v>0</v>
      </c>
      <c r="C7" s="8">
        <v>0</v>
      </c>
      <c r="E7" s="10" t="s">
        <v>5</v>
      </c>
      <c r="F7" s="11">
        <v>0</v>
      </c>
      <c r="G7" s="8">
        <v>0</v>
      </c>
    </row>
    <row r="8" spans="1:15" ht="15" customHeight="1" thickBot="1" x14ac:dyDescent="0.3">
      <c r="A8" s="9" t="s">
        <v>6</v>
      </c>
      <c r="B8" s="16">
        <v>0</v>
      </c>
      <c r="C8" s="13">
        <v>0</v>
      </c>
      <c r="E8" s="24" t="s">
        <v>6</v>
      </c>
      <c r="F8" s="25">
        <v>0</v>
      </c>
      <c r="G8" s="13">
        <v>0</v>
      </c>
    </row>
  </sheetData>
  <mergeCells count="5">
    <mergeCell ref="H1:I1"/>
    <mergeCell ref="A1:C1"/>
    <mergeCell ref="E1:G1"/>
    <mergeCell ref="O3:O4"/>
    <mergeCell ref="N3:N4"/>
  </mergeCells>
  <dataValidations count="1">
    <dataValidation type="list" allowBlank="1" showInputMessage="1" showErrorMessage="1" sqref="K6" xr:uid="{E1FA2264-B5F6-4549-B0D7-4D2128963B76}">
      <formula1>"Normal,Edge"</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Frente</vt:lpstr>
      <vt:lpstr>Descripciones</vt:lpstr>
      <vt:lpstr>Archetipos</vt:lpstr>
      <vt:lpstr>Modifiers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dc:creator>
  <cp:lastModifiedBy>JUAREZ JAVIER DAVID</cp:lastModifiedBy>
  <cp:lastPrinted>2025-10-21T03:01:06Z</cp:lastPrinted>
  <dcterms:created xsi:type="dcterms:W3CDTF">2015-06-05T18:19:34Z</dcterms:created>
  <dcterms:modified xsi:type="dcterms:W3CDTF">2025-11-22T00:04:40Z</dcterms:modified>
</cp:coreProperties>
</file>
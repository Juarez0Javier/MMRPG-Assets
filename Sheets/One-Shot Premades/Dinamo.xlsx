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A:\Javier\TTRPGs\Marvel Multiverse RPG\Sheets\One-Shot Premades\"/>
    </mc:Choice>
  </mc:AlternateContent>
  <xr:revisionPtr revIDLastSave="0" documentId="13_ncr:1_{17E393FA-7E2C-4F23-BD8C-EEBBFA221168}" xr6:coauthVersionLast="47" xr6:coauthVersionMax="47" xr10:uidLastSave="{00000000-0000-0000-0000-000000000000}"/>
  <bookViews>
    <workbookView xWindow="-120" yWindow="-120" windowWidth="20730" windowHeight="11160" xr2:uid="{00000000-000D-0000-FFFF-FFFF00000000}"/>
  </bookViews>
  <sheets>
    <sheet name="Frente" sheetId="1" r:id="rId1"/>
    <sheet name="Descripciones" sheetId="2" r:id="rId2"/>
    <sheet name="Arquetipos" sheetId="5" r:id="rId3"/>
    <sheet name="Modifier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 l="1"/>
  <c r="C12" i="1"/>
  <c r="C48" i="1"/>
  <c r="C46" i="1"/>
  <c r="C44" i="1"/>
  <c r="C42" i="1"/>
  <c r="E20" i="1"/>
  <c r="D30" i="1"/>
  <c r="E42" i="1"/>
  <c r="E44" i="1"/>
  <c r="E46" i="1"/>
  <c r="E48" i="1"/>
  <c r="D32" i="1"/>
  <c r="D34" i="1"/>
  <c r="D36" i="1"/>
  <c r="D38" i="1"/>
  <c r="D28"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<sst xmlns="http://schemas.openxmlformats.org/spreadsheetml/2006/main" count="117" uniqueCount="93">
  <si>
    <t>Defense Score</t>
  </si>
  <si>
    <t>Melee</t>
  </si>
  <si>
    <t>Agility</t>
  </si>
  <si>
    <t>Resilience</t>
  </si>
  <si>
    <t>Vigilance</t>
  </si>
  <si>
    <t>Ego</t>
  </si>
  <si>
    <t>Logic</t>
  </si>
  <si>
    <t>+</t>
  </si>
  <si>
    <t xml:space="preserve">Initiative </t>
  </si>
  <si>
    <t>Damage Multiplier</t>
  </si>
  <si>
    <t>Bonus</t>
  </si>
  <si>
    <t>Override</t>
  </si>
  <si>
    <t>Normal</t>
  </si>
  <si>
    <t xml:space="preserve">Health </t>
  </si>
  <si>
    <t xml:space="preserve">Focus </t>
  </si>
  <si>
    <t>Multiplier Override</t>
  </si>
  <si>
    <t>Edge</t>
  </si>
  <si>
    <t>Reservas</t>
  </si>
  <si>
    <t>Poderes</t>
  </si>
  <si>
    <t>Origen</t>
  </si>
  <si>
    <t>Alineamiento</t>
  </si>
  <si>
    <t>Identidad</t>
  </si>
  <si>
    <t>Tamaño</t>
  </si>
  <si>
    <t>Velocidad</t>
  </si>
  <si>
    <t>Daño</t>
  </si>
  <si>
    <t>Habilidades</t>
  </si>
  <si>
    <t>Valor de Habilidad</t>
  </si>
  <si>
    <t>Defensa de Habilidad</t>
  </si>
  <si>
    <t>Agilidad</t>
  </si>
  <si>
    <t>Vigilancia</t>
  </si>
  <si>
    <t>Resiliencia</t>
  </si>
  <si>
    <t>Reducción de Daño</t>
  </si>
  <si>
    <t>Modificador de Iniciativa</t>
  </si>
  <si>
    <t>Lógica</t>
  </si>
  <si>
    <t>Ocupación</t>
  </si>
  <si>
    <t>Heroico</t>
  </si>
  <si>
    <t>Talentos</t>
  </si>
  <si>
    <t>Nombre Civil</t>
  </si>
  <si>
    <t>Nombre Heroico</t>
  </si>
  <si>
    <t>Rasgos</t>
  </si>
  <si>
    <t>/10</t>
  </si>
  <si>
    <t>Grado</t>
  </si>
  <si>
    <t>Incrementos de Habilidades</t>
  </si>
  <si>
    <t>+1 Agilidad  +1 Vigilancia</t>
  </si>
  <si>
    <t>Información Adicional y Etiquetas</t>
  </si>
  <si>
    <t>Descripciones de Rasgos y Poderes</t>
  </si>
  <si>
    <t xml:space="preserve">Dinamo </t>
  </si>
  <si>
    <r>
      <rPr>
        <b/>
        <sz val="10"/>
        <color theme="1"/>
        <rFont val="Calibri"/>
        <family val="2"/>
        <scheme val="minor"/>
      </rPr>
      <t>Correr</t>
    </r>
    <r>
      <rPr>
        <sz val="10"/>
        <color theme="1"/>
        <rFont val="Calibri"/>
        <family val="2"/>
        <scheme val="minor"/>
      </rPr>
      <t xml:space="preserve"> 5, </t>
    </r>
    <r>
      <rPr>
        <b/>
        <sz val="10"/>
        <color theme="1"/>
        <rFont val="Calibri"/>
        <family val="2"/>
        <scheme val="minor"/>
      </rPr>
      <t>Volar</t>
    </r>
    <r>
      <rPr>
        <sz val="10"/>
        <color theme="1"/>
        <rFont val="Calibri"/>
        <family val="2"/>
        <scheme val="minor"/>
      </rPr>
      <t xml:space="preserve"> 5</t>
    </r>
  </si>
  <si>
    <t>Control Elemental</t>
  </si>
  <si>
    <t>Disparo Elemental (Estándar, Instantáneo)</t>
  </si>
  <si>
    <t>Elementos (Permanente)</t>
  </si>
  <si>
    <t>Disciplina (Permanente)</t>
  </si>
  <si>
    <t>Tienes una velocidad de Vuelo igual a tu velocidad de Correr.</t>
  </si>
  <si>
    <t>Vuelo (Permanente)</t>
  </si>
  <si>
    <t>[1 a Elección]</t>
  </si>
  <si>
    <t>Dinamo - Bengala</t>
  </si>
  <si>
    <t>Dinamo - Arquitecto</t>
  </si>
  <si>
    <t>Tot. 10</t>
  </si>
  <si>
    <t>Usas tu Defensa de Agilidad para defenderte contra Ataques de Melé.</t>
  </si>
  <si>
    <t>Resistencia Elemental (Permanente)</t>
  </si>
  <si>
    <t>Alzar un Espectáculo</t>
  </si>
  <si>
    <t>Básico</t>
  </si>
  <si>
    <t>Refuerzo Elemental (Reacción)</t>
  </si>
  <si>
    <t>Cuando una protección de Control Elemental en alcance que tenga un Limite de Daño es dañada por encima de ese limite. La protección se mantiene intacta, pero recibes el daño como daño de Foco.</t>
  </si>
  <si>
    <t>Forma Elemental (Estándar o Movimiento, Concentración, 10 Foco)</t>
  </si>
  <si>
    <t>Tu Reducción de Daño de Resistencia Elemental se convierte en 2. Tienes Ventaja en ataques con poderes de Control Elemental.</t>
  </si>
  <si>
    <r>
      <t xml:space="preserve">Control Elemental: </t>
    </r>
    <r>
      <rPr>
        <sz val="11"/>
        <color theme="1"/>
        <rFont val="Calibri"/>
        <family val="2"/>
        <scheme val="minor"/>
      </rPr>
      <t>Protección Elemental, Pared Elemental, Refuerzo Elemental</t>
    </r>
  </si>
  <si>
    <t>⛭</t>
  </si>
  <si>
    <t>Melé</t>
  </si>
  <si>
    <t>Conocimiento de Elementos</t>
  </si>
  <si>
    <t>Tienes un +1 a tu Multiplicador de Daño de Ego.</t>
  </si>
  <si>
    <t>Resiliencia + 1 x 20</t>
  </si>
  <si>
    <t xml:space="preserve">Foco </t>
  </si>
  <si>
    <t>Vigilancia + 1 x 20</t>
  </si>
  <si>
    <t xml:space="preserve">Karma </t>
  </si>
  <si>
    <t>Avances</t>
  </si>
  <si>
    <t xml:space="preserve"> 10 Puntos por Grado</t>
  </si>
  <si>
    <t>Aguante</t>
  </si>
  <si>
    <t>+5 Avances</t>
  </si>
  <si>
    <t>Ataque de Ego vs Defensa de Agilidad a rango normal. En un éxito, daño normal de Aguante. Si es Fantástico, doble daño y aplica el efecto de tu Elemento.</t>
  </si>
  <si>
    <t>Tienes Reducción de Daño de Aguante 1 y Reducción de Daño de Foco 1 para cualquier daño que provenga de tu Elemento.</t>
  </si>
  <si>
    <t>Cuando eres atacado vs tus Defensas Físicas. Crea una barrera con un Limite de Daño igual al doble del Foco gastado. Mientras mantienes Concentración, el daño que recibes es reducido a 0. Este poder termina si recibes daño mayor o igual al Limite de Daño.</t>
  </si>
  <si>
    <t>Protección Elemental (Estándar o Reacción, Instantáneo, 5 Foco)</t>
  </si>
  <si>
    <t>Disparo Elemental, Resistencia Elemental</t>
  </si>
  <si>
    <t>Evasión (Estandar o Movimiento, Concentracion)</t>
  </si>
  <si>
    <r>
      <t xml:space="preserve">Básico: </t>
    </r>
    <r>
      <rPr>
        <sz val="11"/>
        <color theme="1"/>
        <rFont val="Calibri"/>
        <family val="2"/>
        <scheme val="minor"/>
      </rPr>
      <t>Vuelo</t>
    </r>
  </si>
  <si>
    <r>
      <t xml:space="preserve">Control Elemental: </t>
    </r>
    <r>
      <rPr>
        <sz val="11"/>
        <color theme="1"/>
        <rFont val="Calibri"/>
        <family val="2"/>
        <scheme val="minor"/>
      </rPr>
      <t>Sobrecarga Elemental,</t>
    </r>
    <r>
      <rPr>
        <b/>
        <sz val="11"/>
        <color theme="1"/>
        <rFont val="Calibri"/>
        <family val="2"/>
        <scheme val="minor"/>
      </rPr>
      <t xml:space="preserve"> </t>
    </r>
    <r>
      <rPr>
        <sz val="11"/>
        <color theme="1"/>
        <rFont val="Calibri"/>
        <family val="2"/>
        <scheme val="minor"/>
      </rPr>
      <t>Forma Elemental</t>
    </r>
  </si>
  <si>
    <t>Sobrecarga Elemental (Permanente, 5+ Foco)</t>
  </si>
  <si>
    <t>Al usar un poder de Control Elemental que haga daño, puedes gastar 5 o mas Foco e incrementar el daño en 1 por cada 2 Foco gastado.</t>
  </si>
  <si>
    <t>Disciplina, Evasión</t>
  </si>
  <si>
    <t>Pared Elemental (Estándar, Concentración, Foco igual a Protección Elemental)</t>
  </si>
  <si>
    <t>Crea una pared de tu Elemento dentro de rango normal, de área igual a hasta 2 por Grado (vertical y horizontalmente). Ataque de Agilidad vs Defensa de Agilidad contra todos los enemigos en el mismo espacio que la pared cuando aparece. En un éxito, elegís en que lado de la pared queda el enemigo. En un fallo, el enemigo elige. Si es Fantástico, aplica el efecto de tu Elemento. La barrera tiene un Limite de Daño igual a Protección Elemental. Este poder termina si la pared recibe daño mayor a su Limite de Daño. La pared usa tu Defensa de Ego para sus Defensas Físicas, y es inmune a ataques vs Defensas Mentales.</t>
  </si>
  <si>
    <t>+1 Melé  +1 Vigilancia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</si>
</sst>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2"/>
      <name val="Calibri"/>
      <family val="2"/>
      <scheme val="minor"/>
    </font>
    <font>
      <b/>
      <sz val="10"/>
      <color theme="1"/>
      <name val="Calibri"/>
      <family val="2"/>
      <scheme val="minor"/>
    </font>
    <font>
      <sz val="10"/>
      <color theme="1"/>
      <name val="Calibri"/>
      <family val="2"/>
      <scheme val="minor"/>
    </font>
    <font>
      <sz val="8"/>
      <name val="Calibri"/>
      <family val="2"/>
      <scheme val="minor"/>
    </font>
    <font>
      <b/>
      <sz val="10"/>
      <color theme="0"/>
      <name val="Calibri"/>
      <family val="2"/>
      <scheme val="minor"/>
    </font>
    <font>
      <b/>
      <sz val="10"/>
      <color rgb="FFC00000"/>
      <name val="Calibri"/>
      <family val="2"/>
      <scheme val="minor"/>
    </font>
    <font>
      <b/>
      <sz val="11"/>
      <color theme="0"/>
      <name val="Calibri"/>
      <family val="2"/>
      <scheme val="minor"/>
    </font>
    <font>
      <b/>
      <sz val="8"/>
      <color theme="0"/>
      <name val="Calibri"/>
      <family val="2"/>
      <scheme val="minor"/>
    </font>
    <font>
      <b/>
      <sz val="18"/>
      <color theme="0"/>
      <name val="Calibri"/>
      <family val="2"/>
      <scheme val="minor"/>
    </font>
    <font>
      <sz val="8"/>
      <color theme="1"/>
      <name val="Calibri"/>
      <family val="2"/>
      <scheme val="minor"/>
    </font>
    <font>
      <b/>
      <sz val="11"/>
      <color rgb="FFC00000"/>
      <name val="Calibri"/>
      <family val="2"/>
      <scheme val="minor"/>
    </font>
    <font>
      <b/>
      <sz val="11"/>
      <color theme="1"/>
      <name val="Calibri"/>
      <family val="2"/>
      <scheme val="minor"/>
    </font>
    <font>
      <b/>
      <sz val="12"/>
      <color theme="1"/>
      <name val="Calibri"/>
      <family val="2"/>
      <scheme val="minor"/>
    </font>
    <font>
      <sz val="10"/>
      <color rgb="FFC00000"/>
      <name val="Calibri"/>
      <family val="2"/>
      <scheme val="minor"/>
    </font>
    <font>
      <sz val="10"/>
      <color theme="0" tint="-0.34998626667073579"/>
      <name val="Calibri"/>
      <family val="2"/>
      <scheme val="minor"/>
    </font>
    <font>
      <u/>
      <sz val="10"/>
      <color theme="1"/>
      <name val="Calibri"/>
      <family val="2"/>
      <scheme val="minor"/>
    </font>
    <font>
      <sz val="12"/>
      <color theme="8" tint="0.39997558519241921"/>
      <name val="Calibri"/>
      <family val="2"/>
      <scheme val="minor"/>
    </font>
    <font>
      <b/>
      <u/>
      <sz val="10"/>
      <color theme="1"/>
      <name val="Calibri"/>
      <family val="2"/>
      <scheme val="minor"/>
    </font>
    <font>
      <b/>
      <sz val="10"/>
      <color rgb="FFFFB3B3"/>
      <name val="Calibri"/>
      <family val="2"/>
      <scheme val="minor"/>
    </font>
  </fonts>
  <fills count="8">
    <fill>
      <patternFill patternType="none"/>
    </fill>
    <fill>
      <patternFill patternType="gray125"/>
    </fill>
    <fill>
      <patternFill patternType="solid">
        <fgColor rgb="FFC00000"/>
        <bgColor indexed="64"/>
      </patternFill>
    </fill>
    <fill>
      <patternFill patternType="solid">
        <fgColor theme="0"/>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1" tint="0.14999847407452621"/>
        <bgColor indexed="64"/>
      </patternFill>
    </fill>
    <fill>
      <patternFill patternType="solid">
        <fgColor rgb="FFFFE7E7"/>
        <bgColor indexed="64"/>
      </patternFill>
    </fill>
  </fills>
  <borders count="65">
    <border>
      <left/>
      <right/>
      <top/>
      <bottom/>
      <diagonal/>
    </border>
    <border>
      <left style="medium">
        <color rgb="FFC00000"/>
      </left>
      <right style="medium">
        <color rgb="FFC00000"/>
      </right>
      <top style="medium">
        <color rgb="FFC00000"/>
      </top>
      <bottom/>
      <diagonal/>
    </border>
    <border>
      <left style="medium">
        <color rgb="FFC00000"/>
      </left>
      <right style="medium">
        <color rgb="FFC00000"/>
      </right>
      <top/>
      <bottom style="medium">
        <color rgb="FFC00000"/>
      </bottom>
      <diagonal/>
    </border>
    <border>
      <left style="medium">
        <color rgb="FFC00000"/>
      </left>
      <right/>
      <top style="medium">
        <color rgb="FFC00000"/>
      </top>
      <bottom/>
      <diagonal/>
    </border>
    <border>
      <left/>
      <right style="medium">
        <color rgb="FFC00000"/>
      </right>
      <top style="medium">
        <color rgb="FFC00000"/>
      </top>
      <bottom/>
      <diagonal/>
    </border>
    <border>
      <left style="medium">
        <color rgb="FFC00000"/>
      </left>
      <right/>
      <top/>
      <bottom style="medium">
        <color rgb="FFC00000"/>
      </bottom>
      <diagonal/>
    </border>
    <border>
      <left/>
      <right style="medium">
        <color rgb="FFC00000"/>
      </right>
      <top/>
      <bottom style="medium">
        <color rgb="FFC00000"/>
      </bottom>
      <diagonal/>
    </border>
    <border>
      <left/>
      <right style="medium">
        <color rgb="FFC00000"/>
      </right>
      <top/>
      <bottom/>
      <diagonal/>
    </border>
    <border>
      <left style="medium">
        <color rgb="FFC00000"/>
      </left>
      <right/>
      <top/>
      <bottom/>
      <diagonal/>
    </border>
    <border>
      <left style="medium">
        <color rgb="FFC00000"/>
      </left>
      <right/>
      <top style="medium">
        <color rgb="FFC00000"/>
      </top>
      <bottom style="medium">
        <color rgb="FFC00000"/>
      </bottom>
      <diagonal/>
    </border>
    <border>
      <left/>
      <right style="medium">
        <color rgb="FFC00000"/>
      </right>
      <top style="medium">
        <color rgb="FFC00000"/>
      </top>
      <bottom style="medium">
        <color rgb="FFC00000"/>
      </bottom>
      <diagonal/>
    </border>
    <border>
      <left style="medium">
        <color rgb="FFC00000"/>
      </left>
      <right style="medium">
        <color rgb="FFC00000"/>
      </right>
      <top/>
      <bottom/>
      <diagonal/>
    </border>
    <border>
      <left/>
      <right/>
      <top style="medium">
        <color rgb="FFC00000"/>
      </top>
      <bottom/>
      <diagonal/>
    </border>
    <border>
      <left/>
      <right/>
      <top/>
      <bottom style="medium">
        <color rgb="FFC00000"/>
      </bottom>
      <diagonal/>
    </border>
    <border>
      <left style="medium">
        <color rgb="FFC00000"/>
      </left>
      <right/>
      <top style="medium">
        <color rgb="FFC00000"/>
      </top>
      <bottom style="thin">
        <color rgb="FFC00000"/>
      </bottom>
      <diagonal/>
    </border>
    <border>
      <left/>
      <right/>
      <top style="medium">
        <color rgb="FFC00000"/>
      </top>
      <bottom style="thin">
        <color rgb="FFC00000"/>
      </bottom>
      <diagonal/>
    </border>
    <border>
      <left/>
      <right style="medium">
        <color rgb="FFC00000"/>
      </right>
      <top style="medium">
        <color rgb="FFC00000"/>
      </top>
      <bottom style="thin">
        <color rgb="FFC00000"/>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rgb="FFC00000"/>
      </right>
      <top/>
      <bottom style="medium">
        <color rgb="FFC00000"/>
      </bottom>
      <diagonal/>
    </border>
    <border>
      <left/>
      <right/>
      <top style="medium">
        <color rgb="FFC00000"/>
      </top>
      <bottom style="medium">
        <color rgb="FFC00000"/>
      </bottom>
      <diagonal/>
    </border>
    <border>
      <left style="medium">
        <color theme="1"/>
      </left>
      <right style="medium">
        <color theme="1"/>
      </right>
      <top style="medium">
        <color theme="1"/>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style="medium">
        <color theme="1"/>
      </left>
      <right/>
      <top/>
      <bottom style="medium">
        <color theme="1"/>
      </bottom>
      <diagonal/>
    </border>
    <border>
      <left style="medium">
        <color theme="1"/>
      </left>
      <right style="thin">
        <color indexed="64"/>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style="medium">
        <color theme="1"/>
      </bottom>
      <diagonal/>
    </border>
    <border>
      <left style="thin">
        <color theme="1"/>
      </left>
      <right style="medium">
        <color theme="1"/>
      </right>
      <top style="medium">
        <color theme="1"/>
      </top>
      <bottom/>
      <diagonal/>
    </border>
    <border>
      <left style="thin">
        <color theme="1"/>
      </left>
      <right style="medium">
        <color theme="1"/>
      </right>
      <top/>
      <bottom style="medium">
        <color theme="1"/>
      </bottom>
      <diagonal/>
    </border>
    <border>
      <left style="thin">
        <color theme="1"/>
      </left>
      <right style="thin">
        <color theme="1"/>
      </right>
      <top style="medium">
        <color theme="1"/>
      </top>
      <bottom/>
      <diagonal/>
    </border>
    <border>
      <left style="thin">
        <color theme="1"/>
      </left>
      <right style="thin">
        <color theme="1"/>
      </right>
      <top/>
      <bottom style="medium">
        <color theme="1"/>
      </bottom>
      <diagonal/>
    </border>
    <border>
      <left style="medium">
        <color theme="1"/>
      </left>
      <right/>
      <top/>
      <bottom/>
      <diagonal/>
    </border>
    <border>
      <left style="medium">
        <color theme="1"/>
      </left>
      <right style="thin">
        <color indexed="64"/>
      </right>
      <top/>
      <bottom/>
      <diagonal/>
    </border>
    <border>
      <left style="medium">
        <color theme="1"/>
      </left>
      <right style="thin">
        <color indexed="64"/>
      </right>
      <top/>
      <bottom style="medium">
        <color theme="1"/>
      </bottom>
      <diagonal/>
    </border>
    <border>
      <left/>
      <right/>
      <top/>
      <bottom style="medium">
        <color theme="1"/>
      </bottom>
      <diagonal/>
    </border>
    <border>
      <left/>
      <right/>
      <top/>
      <bottom style="thin">
        <color rgb="FFC00000"/>
      </bottom>
      <diagonal/>
    </border>
    <border>
      <left style="medium">
        <color rgb="FFC00000"/>
      </left>
      <right style="medium">
        <color rgb="FFC00000"/>
      </right>
      <top/>
      <bottom style="thin">
        <color rgb="FFC00000"/>
      </bottom>
      <diagonal/>
    </border>
    <border>
      <left/>
      <right style="thin">
        <color rgb="FFC00000"/>
      </right>
      <top style="medium">
        <color rgb="FFC00000"/>
      </top>
      <bottom/>
      <diagonal/>
    </border>
    <border>
      <left style="medium">
        <color rgb="FFC00000"/>
      </left>
      <right/>
      <top/>
      <bottom style="thin">
        <color rgb="FFC00000"/>
      </bottom>
      <diagonal/>
    </border>
    <border>
      <left/>
      <right style="medium">
        <color rgb="FFC00000"/>
      </right>
      <top/>
      <bottom style="thin">
        <color rgb="FFC00000"/>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theme="1"/>
      </right>
      <top style="medium">
        <color indexed="64"/>
      </top>
      <bottom style="medium">
        <color indexed="64"/>
      </bottom>
      <diagonal/>
    </border>
    <border>
      <left style="thin">
        <color indexed="64"/>
      </left>
      <right style="thin">
        <color theme="1"/>
      </right>
      <top/>
      <bottom style="medium">
        <color indexed="64"/>
      </bottom>
      <diagonal/>
    </border>
    <border>
      <left/>
      <right style="medium">
        <color theme="1"/>
      </right>
      <top/>
      <bottom style="medium">
        <color theme="1"/>
      </bottom>
      <diagonal/>
    </border>
    <border>
      <left/>
      <right/>
      <top style="thin">
        <color rgb="FFC00000"/>
      </top>
      <bottom style="medium">
        <color rgb="FFC00000"/>
      </bottom>
      <diagonal/>
    </border>
    <border>
      <left/>
      <right style="medium">
        <color rgb="FFC00000"/>
      </right>
      <top style="thin">
        <color rgb="FFC00000"/>
      </top>
      <bottom style="medium">
        <color rgb="FFC00000"/>
      </bottom>
      <diagonal/>
    </border>
    <border>
      <left style="medium">
        <color rgb="FFC00000"/>
      </left>
      <right/>
      <top style="thin">
        <color rgb="FFC00000"/>
      </top>
      <bottom style="medium">
        <color rgb="FFC00000"/>
      </bottom>
      <diagonal/>
    </border>
    <border>
      <left style="medium">
        <color rgb="FFC00000"/>
      </left>
      <right style="medium">
        <color rgb="FFC00000"/>
      </right>
      <top style="medium">
        <color rgb="FFC00000"/>
      </top>
      <bottom style="thin">
        <color rgb="FFC00000"/>
      </bottom>
      <diagonal/>
    </border>
    <border>
      <left style="medium">
        <color rgb="FFC00000"/>
      </left>
      <right style="thin">
        <color rgb="FFC00000"/>
      </right>
      <top style="medium">
        <color rgb="FFC00000"/>
      </top>
      <bottom style="medium">
        <color rgb="FFC00000"/>
      </bottom>
      <diagonal/>
    </border>
    <border>
      <left style="medium">
        <color rgb="FFC00000"/>
      </left>
      <right style="medium">
        <color rgb="FFC00000"/>
      </right>
      <top style="medium">
        <color rgb="FFC00000"/>
      </top>
      <bottom style="medium">
        <color rgb="FFC00000"/>
      </bottom>
      <diagonal/>
    </border>
    <border>
      <left style="thin">
        <color rgb="FFC00000"/>
      </left>
      <right/>
      <top style="medium">
        <color rgb="FFC00000"/>
      </top>
      <bottom style="medium">
        <color rgb="FFC00000"/>
      </bottom>
      <diagonal/>
    </border>
    <border>
      <left style="medium">
        <color rgb="FFC00000"/>
      </left>
      <right style="thin">
        <color rgb="FFC00000"/>
      </right>
      <top style="medium">
        <color rgb="FFC00000"/>
      </top>
      <bottom/>
      <diagonal/>
    </border>
    <border>
      <left style="medium">
        <color rgb="FFC00000"/>
      </left>
      <right style="thin">
        <color rgb="FFC00000"/>
      </right>
      <top/>
      <bottom style="medium">
        <color rgb="FFC00000"/>
      </bottom>
      <diagonal/>
    </border>
    <border>
      <left style="thin">
        <color rgb="FFC00000"/>
      </left>
      <right/>
      <top style="medium">
        <color rgb="FFC00000"/>
      </top>
      <bottom/>
      <diagonal/>
    </border>
    <border>
      <left style="thin">
        <color rgb="FFC00000"/>
      </left>
      <right/>
      <top/>
      <bottom style="medium">
        <color rgb="FFC00000"/>
      </bottom>
      <diagonal/>
    </border>
    <border>
      <left style="medium">
        <color rgb="FFC00000"/>
      </left>
      <right/>
      <top style="thin">
        <color rgb="FFC00000"/>
      </top>
      <bottom/>
      <diagonal/>
    </border>
    <border>
      <left/>
      <right/>
      <top style="thin">
        <color rgb="FFC00000"/>
      </top>
      <bottom/>
      <diagonal/>
    </border>
    <border>
      <left/>
      <right style="medium">
        <color rgb="FFC00000"/>
      </right>
      <top style="thin">
        <color rgb="FFC00000"/>
      </top>
      <bottom/>
      <diagonal/>
    </border>
  </borders>
  <cellStyleXfs count="1">
    <xf numFmtId="0" fontId="0" fillId="0" borderId="0"/>
  </cellStyleXfs>
  <cellXfs count="266">
    <xf numFmtId="0" fontId="0" fillId="0" borderId="0" xfId="0"/>
    <xf numFmtId="0" fontId="0" fillId="0" borderId="0" xfId="0" applyAlignment="1">
      <alignment horizontal="center"/>
    </xf>
    <xf numFmtId="0" fontId="0" fillId="5" borderId="18" xfId="0" applyFill="1" applyBorder="1"/>
    <xf numFmtId="0" fontId="0" fillId="5" borderId="17" xfId="0" applyFill="1" applyBorder="1" applyAlignment="1">
      <alignment horizontal="center"/>
    </xf>
    <xf numFmtId="0" fontId="0" fillId="5" borderId="17" xfId="0" applyFill="1" applyBorder="1"/>
    <xf numFmtId="0" fontId="0" fillId="5" borderId="0" xfId="0" applyFill="1" applyAlignment="1">
      <alignment horizontal="center"/>
    </xf>
    <xf numFmtId="0" fontId="0" fillId="5" borderId="26" xfId="0" applyFill="1" applyBorder="1"/>
    <xf numFmtId="0" fontId="0" fillId="5" borderId="27" xfId="0" applyFill="1" applyBorder="1" applyAlignment="1">
      <alignment horizontal="center"/>
    </xf>
    <xf numFmtId="0" fontId="0" fillId="5" borderId="28" xfId="0" applyFill="1" applyBorder="1" applyAlignment="1">
      <alignment horizontal="center"/>
    </xf>
    <xf numFmtId="0" fontId="0" fillId="5" borderId="29" xfId="0" applyFill="1" applyBorder="1"/>
    <xf numFmtId="0" fontId="0" fillId="5" borderId="30" xfId="0" applyFill="1" applyBorder="1"/>
    <xf numFmtId="0" fontId="0" fillId="5" borderId="32" xfId="0" applyFill="1" applyBorder="1" applyAlignment="1">
      <alignment horizontal="center"/>
    </xf>
    <xf numFmtId="0" fontId="0" fillId="5" borderId="33" xfId="0" applyFill="1" applyBorder="1" applyAlignment="1">
      <alignment horizontal="center"/>
    </xf>
    <xf numFmtId="0" fontId="0" fillId="5" borderId="34" xfId="0" applyFill="1" applyBorder="1" applyAlignment="1">
      <alignment horizontal="center"/>
    </xf>
    <xf numFmtId="0" fontId="0" fillId="5" borderId="22" xfId="0" applyFill="1" applyBorder="1"/>
    <xf numFmtId="0" fontId="0" fillId="5" borderId="35" xfId="0" applyFill="1" applyBorder="1" applyAlignment="1">
      <alignment horizontal="center"/>
    </xf>
    <xf numFmtId="0" fontId="0" fillId="5" borderId="36" xfId="0" applyFill="1" applyBorder="1" applyAlignment="1">
      <alignment horizontal="center"/>
    </xf>
    <xf numFmtId="0" fontId="0" fillId="4" borderId="37" xfId="0" applyFill="1" applyBorder="1"/>
    <xf numFmtId="0" fontId="0" fillId="4" borderId="25" xfId="0" applyFill="1" applyBorder="1" applyAlignment="1">
      <alignment horizontal="center"/>
    </xf>
    <xf numFmtId="0" fontId="1" fillId="6" borderId="26" xfId="0" applyFont="1" applyFill="1" applyBorder="1" applyAlignment="1">
      <alignment horizontal="center" wrapText="1"/>
    </xf>
    <xf numFmtId="0" fontId="1" fillId="6" borderId="31" xfId="0" applyFont="1" applyFill="1" applyBorder="1" applyAlignment="1">
      <alignment horizontal="center" wrapText="1"/>
    </xf>
    <xf numFmtId="0" fontId="1" fillId="6" borderId="21" xfId="0" applyFont="1" applyFill="1" applyBorder="1" applyAlignment="1">
      <alignment horizontal="center" wrapText="1"/>
    </xf>
    <xf numFmtId="0" fontId="0" fillId="4" borderId="0" xfId="0" applyFill="1" applyAlignment="1">
      <alignment horizontal="center"/>
    </xf>
    <xf numFmtId="0" fontId="0" fillId="5" borderId="38" xfId="0" applyFill="1" applyBorder="1"/>
    <xf numFmtId="0" fontId="0" fillId="5" borderId="39" xfId="0" applyFill="1" applyBorder="1"/>
    <xf numFmtId="0" fontId="0" fillId="5" borderId="40" xfId="0" applyFill="1" applyBorder="1" applyAlignment="1">
      <alignment horizontal="center"/>
    </xf>
    <xf numFmtId="0" fontId="0" fillId="5" borderId="48" xfId="0" applyFill="1" applyBorder="1"/>
    <xf numFmtId="0" fontId="0" fillId="0" borderId="46" xfId="0" applyBorder="1"/>
    <xf numFmtId="0" fontId="0" fillId="5" borderId="49" xfId="0" applyFill="1" applyBorder="1"/>
    <xf numFmtId="0" fontId="0" fillId="5" borderId="47" xfId="0" applyFill="1" applyBorder="1" applyAlignment="1">
      <alignment horizontal="center"/>
    </xf>
    <xf numFmtId="0" fontId="3" fillId="0" borderId="0" xfId="0" applyFont="1"/>
    <xf numFmtId="0" fontId="3" fillId="3" borderId="2" xfId="0" applyFont="1" applyFill="1" applyBorder="1" applyAlignment="1">
      <alignment horizontal="center" vertical="center"/>
    </xf>
    <xf numFmtId="0" fontId="3" fillId="3" borderId="11" xfId="0" applyFont="1" applyFill="1" applyBorder="1" applyAlignment="1">
      <alignment horizontal="center" vertical="center"/>
    </xf>
    <xf numFmtId="0" fontId="2" fillId="7" borderId="55" xfId="0" applyFont="1" applyFill="1" applyBorder="1"/>
    <xf numFmtId="0" fontId="2" fillId="7" borderId="54" xfId="0" applyFont="1" applyFill="1" applyBorder="1" applyAlignment="1">
      <alignment horizontal="center"/>
    </xf>
    <xf numFmtId="0" fontId="3" fillId="7" borderId="2" xfId="0" applyFont="1" applyFill="1" applyBorder="1" applyAlignment="1">
      <alignment horizontal="center" vertical="center"/>
    </xf>
    <xf numFmtId="0" fontId="3" fillId="7" borderId="0" xfId="0" applyFont="1" applyFill="1" applyAlignment="1">
      <alignment horizontal="center"/>
    </xf>
    <xf numFmtId="0" fontId="3" fillId="7" borderId="7" xfId="0" applyFont="1" applyFill="1" applyBorder="1"/>
    <xf numFmtId="0" fontId="3" fillId="7" borderId="8" xfId="0" applyFont="1" applyFill="1" applyBorder="1" applyAlignment="1">
      <alignment horizontal="center"/>
    </xf>
    <xf numFmtId="0" fontId="3" fillId="7" borderId="12" xfId="0" applyFont="1" applyFill="1" applyBorder="1"/>
    <xf numFmtId="0" fontId="3" fillId="7" borderId="4" xfId="0" applyFont="1" applyFill="1" applyBorder="1"/>
    <xf numFmtId="0" fontId="3" fillId="7" borderId="0" xfId="0" applyFont="1" applyFill="1"/>
    <xf numFmtId="0" fontId="10" fillId="0" borderId="0" xfId="0" applyFont="1"/>
    <xf numFmtId="0" fontId="5" fillId="2" borderId="56" xfId="0" applyFont="1" applyFill="1" applyBorder="1" applyAlignment="1">
      <alignment horizontal="left"/>
    </xf>
    <xf numFmtId="0" fontId="2" fillId="7" borderId="3" xfId="0" applyFont="1" applyFill="1" applyBorder="1"/>
    <xf numFmtId="0" fontId="2" fillId="7" borderId="12" xfId="0" applyFont="1" applyFill="1" applyBorder="1"/>
    <xf numFmtId="0" fontId="2" fillId="7" borderId="8" xfId="0" applyFont="1" applyFill="1" applyBorder="1"/>
    <xf numFmtId="0" fontId="2" fillId="7" borderId="0" xfId="0" applyFont="1" applyFill="1"/>
    <xf numFmtId="0" fontId="2" fillId="7" borderId="1" xfId="0" applyFont="1" applyFill="1" applyBorder="1" applyAlignment="1">
      <alignment horizontal="left"/>
    </xf>
    <xf numFmtId="0" fontId="3" fillId="7" borderId="8" xfId="0" applyFont="1" applyFill="1" applyBorder="1"/>
    <xf numFmtId="0" fontId="3" fillId="7" borderId="3" xfId="0" applyFont="1" applyFill="1" applyBorder="1" applyAlignment="1">
      <alignment horizontal="center"/>
    </xf>
    <xf numFmtId="0" fontId="3" fillId="7" borderId="12" xfId="0" applyFont="1" applyFill="1" applyBorder="1" applyAlignment="1">
      <alignment horizontal="center"/>
    </xf>
    <xf numFmtId="0" fontId="3" fillId="7" borderId="4" xfId="0" applyFont="1" applyFill="1" applyBorder="1" applyAlignment="1">
      <alignment horizontal="center"/>
    </xf>
    <xf numFmtId="0" fontId="3" fillId="7" borderId="7" xfId="0" applyFont="1" applyFill="1" applyBorder="1" applyAlignment="1">
      <alignment horizontal="center"/>
    </xf>
    <xf numFmtId="0" fontId="2" fillId="3" borderId="2" xfId="0" applyFont="1" applyFill="1" applyBorder="1" applyAlignment="1">
      <alignment horizontal="center" vertical="center"/>
    </xf>
    <xf numFmtId="0" fontId="13" fillId="0" borderId="0" xfId="0" applyFont="1" applyAlignment="1">
      <alignment vertical="center"/>
    </xf>
    <xf numFmtId="0" fontId="0" fillId="7" borderId="12" xfId="0" applyFill="1" applyBorder="1" applyAlignment="1">
      <alignment horizontal="left"/>
    </xf>
    <xf numFmtId="0" fontId="0" fillId="7" borderId="4" xfId="0" applyFill="1" applyBorder="1" applyAlignment="1">
      <alignment horizontal="left"/>
    </xf>
    <xf numFmtId="0" fontId="15" fillId="7" borderId="8" xfId="0" applyFont="1" applyFill="1" applyBorder="1"/>
    <xf numFmtId="0" fontId="12" fillId="7" borderId="3" xfId="0" applyFont="1" applyFill="1" applyBorder="1"/>
    <xf numFmtId="0" fontId="12" fillId="7" borderId="8" xfId="0" applyFont="1" applyFill="1" applyBorder="1"/>
    <xf numFmtId="0" fontId="12" fillId="7" borderId="7" xfId="0" applyFont="1" applyFill="1" applyBorder="1"/>
    <xf numFmtId="0" fontId="0" fillId="7" borderId="12" xfId="0" applyFill="1" applyBorder="1" applyAlignment="1">
      <alignment horizontal="left" vertical="center"/>
    </xf>
    <xf numFmtId="0" fontId="12" fillId="7" borderId="3" xfId="0" applyFont="1" applyFill="1" applyBorder="1" applyAlignment="1">
      <alignment vertical="center"/>
    </xf>
    <xf numFmtId="0" fontId="0" fillId="7" borderId="7" xfId="0" applyFill="1" applyBorder="1" applyAlignment="1">
      <alignment vertical="center" wrapText="1"/>
    </xf>
    <xf numFmtId="0" fontId="0" fillId="7" borderId="41" xfId="0" applyFill="1" applyBorder="1" applyAlignment="1">
      <alignment vertical="center" wrapText="1"/>
    </xf>
    <xf numFmtId="0" fontId="0" fillId="7" borderId="45" xfId="0" applyFill="1" applyBorder="1" applyAlignment="1">
      <alignment vertical="center" wrapText="1"/>
    </xf>
    <xf numFmtId="0" fontId="0" fillId="7" borderId="44" xfId="0" applyFill="1" applyBorder="1" applyAlignment="1">
      <alignment vertical="center" wrapText="1"/>
    </xf>
    <xf numFmtId="0" fontId="12" fillId="7" borderId="0" xfId="0" applyFont="1" applyFill="1"/>
    <xf numFmtId="0" fontId="12" fillId="7" borderId="5" xfId="0" applyFont="1" applyFill="1" applyBorder="1"/>
    <xf numFmtId="0" fontId="12" fillId="7" borderId="13" xfId="0" applyFont="1" applyFill="1" applyBorder="1"/>
    <xf numFmtId="0" fontId="12" fillId="7" borderId="6" xfId="0" applyFont="1" applyFill="1" applyBorder="1"/>
    <xf numFmtId="0" fontId="17" fillId="0" borderId="9" xfId="0" applyFont="1" applyBorder="1" applyAlignment="1">
      <alignment horizontal="center" vertical="center"/>
    </xf>
    <xf numFmtId="0" fontId="2" fillId="7" borderId="3" xfId="0" applyFont="1" applyFill="1" applyBorder="1" applyAlignment="1">
      <alignment vertical="center"/>
    </xf>
    <xf numFmtId="0" fontId="2" fillId="7" borderId="12" xfId="0" applyFont="1" applyFill="1" applyBorder="1" applyAlignment="1">
      <alignment vertical="center"/>
    </xf>
    <xf numFmtId="0" fontId="2" fillId="7" borderId="4" xfId="0" applyFont="1" applyFill="1" applyBorder="1" applyAlignment="1">
      <alignment vertical="center"/>
    </xf>
    <xf numFmtId="0" fontId="2" fillId="7" borderId="43" xfId="0" applyFont="1" applyFill="1" applyBorder="1" applyAlignment="1">
      <alignment vertical="center"/>
    </xf>
    <xf numFmtId="0" fontId="18" fillId="7" borderId="0" xfId="0" applyFont="1" applyFill="1"/>
    <xf numFmtId="0" fontId="0" fillId="7" borderId="7" xfId="0" applyFill="1" applyBorder="1" applyAlignment="1">
      <alignment horizontal="left"/>
    </xf>
    <xf numFmtId="0" fontId="12" fillId="7" borderId="8" xfId="0" applyFont="1" applyFill="1" applyBorder="1" applyAlignment="1">
      <alignment vertical="center"/>
    </xf>
    <xf numFmtId="0" fontId="0" fillId="7" borderId="0" xfId="0" applyFill="1" applyAlignment="1">
      <alignment horizontal="left"/>
    </xf>
    <xf numFmtId="0" fontId="0" fillId="7" borderId="0" xfId="0" applyFill="1" applyAlignment="1">
      <alignment vertical="center" wrapText="1"/>
    </xf>
    <xf numFmtId="0" fontId="0" fillId="7" borderId="0" xfId="0" applyFill="1" applyAlignment="1">
      <alignment horizontal="left" vertical="center"/>
    </xf>
    <xf numFmtId="0" fontId="3" fillId="7" borderId="57" xfId="0" applyFont="1" applyFill="1" applyBorder="1" applyAlignment="1">
      <alignment horizontal="left"/>
    </xf>
    <xf numFmtId="0" fontId="3" fillId="7" borderId="10" xfId="0" applyFont="1" applyFill="1" applyBorder="1" applyAlignment="1">
      <alignment horizontal="left"/>
    </xf>
    <xf numFmtId="0" fontId="2" fillId="7" borderId="58" xfId="0" applyFont="1" applyFill="1" applyBorder="1" applyAlignment="1">
      <alignment horizontal="left" vertical="top"/>
    </xf>
    <xf numFmtId="0" fontId="2" fillId="7" borderId="59" xfId="0" applyFont="1" applyFill="1" applyBorder="1" applyAlignment="1">
      <alignment horizontal="left" vertical="top"/>
    </xf>
    <xf numFmtId="0" fontId="3" fillId="7" borderId="60" xfId="0" applyFont="1" applyFill="1" applyBorder="1" applyAlignment="1">
      <alignment horizontal="left" vertical="top"/>
    </xf>
    <xf numFmtId="0" fontId="3" fillId="7" borderId="4" xfId="0" applyFont="1" applyFill="1" applyBorder="1" applyAlignment="1">
      <alignment horizontal="left" vertical="top"/>
    </xf>
    <xf numFmtId="0" fontId="3" fillId="7" borderId="61" xfId="0" applyFont="1" applyFill="1" applyBorder="1" applyAlignment="1">
      <alignment horizontal="left" vertical="top"/>
    </xf>
    <xf numFmtId="0" fontId="3" fillId="7" borderId="6" xfId="0" applyFont="1" applyFill="1" applyBorder="1" applyAlignment="1">
      <alignment horizontal="left" vertical="top"/>
    </xf>
    <xf numFmtId="0" fontId="3" fillId="7" borderId="8" xfId="0" applyFont="1" applyFill="1" applyBorder="1"/>
    <xf numFmtId="0" fontId="3" fillId="7" borderId="0" xfId="0" applyFont="1" applyFill="1"/>
    <xf numFmtId="0" fontId="3" fillId="7" borderId="7" xfId="0" applyFont="1" applyFill="1" applyBorder="1"/>
    <xf numFmtId="0" fontId="16" fillId="7" borderId="8" xfId="0" applyFont="1" applyFill="1" applyBorder="1"/>
    <xf numFmtId="0" fontId="16" fillId="7" borderId="0" xfId="0" applyFont="1" applyFill="1"/>
    <xf numFmtId="0" fontId="16" fillId="7" borderId="7" xfId="0" applyFont="1" applyFill="1" applyBorder="1"/>
    <xf numFmtId="0" fontId="3" fillId="7" borderId="44" xfId="0" applyFont="1" applyFill="1" applyBorder="1"/>
    <xf numFmtId="0" fontId="3" fillId="7" borderId="41" xfId="0" applyFont="1" applyFill="1" applyBorder="1"/>
    <xf numFmtId="0" fontId="3" fillId="7" borderId="45" xfId="0" applyFont="1" applyFill="1" applyBorder="1"/>
    <xf numFmtId="0" fontId="19" fillId="7" borderId="44" xfId="0" applyFont="1" applyFill="1" applyBorder="1" applyAlignment="1">
      <alignment horizontal="center" vertical="center"/>
    </xf>
    <xf numFmtId="0" fontId="19" fillId="7" borderId="41" xfId="0" applyFont="1" applyFill="1" applyBorder="1" applyAlignment="1">
      <alignment horizontal="center" vertical="center"/>
    </xf>
    <xf numFmtId="0" fontId="19" fillId="7" borderId="45" xfId="0" applyFont="1" applyFill="1" applyBorder="1" applyAlignment="1">
      <alignment horizontal="center" vertical="center"/>
    </xf>
    <xf numFmtId="0" fontId="19" fillId="7" borderId="5" xfId="0" applyFont="1" applyFill="1" applyBorder="1" applyAlignment="1">
      <alignment horizontal="center" vertical="center"/>
    </xf>
    <xf numFmtId="0" fontId="19" fillId="7" borderId="13" xfId="0" applyFont="1" applyFill="1" applyBorder="1" applyAlignment="1">
      <alignment horizontal="center" vertical="center"/>
    </xf>
    <xf numFmtId="0" fontId="19" fillId="7" borderId="19" xfId="0" applyFont="1" applyFill="1" applyBorder="1" applyAlignment="1">
      <alignment horizontal="center" vertical="center"/>
    </xf>
    <xf numFmtId="0" fontId="3" fillId="7" borderId="62" xfId="0" applyFont="1" applyFill="1" applyBorder="1"/>
    <xf numFmtId="0" fontId="3" fillId="7" borderId="63" xfId="0" applyFont="1" applyFill="1" applyBorder="1"/>
    <xf numFmtId="0" fontId="3" fillId="7" borderId="64" xfId="0" applyFont="1" applyFill="1" applyBorder="1"/>
    <xf numFmtId="0" fontId="3" fillId="7" borderId="3" xfId="0" applyFont="1" applyFill="1" applyBorder="1" applyAlignment="1">
      <alignment horizontal="left"/>
    </xf>
    <xf numFmtId="0" fontId="3" fillId="7" borderId="12" xfId="0" applyFont="1" applyFill="1" applyBorder="1" applyAlignment="1">
      <alignment horizontal="left"/>
    </xf>
    <xf numFmtId="0" fontId="3" fillId="7" borderId="4" xfId="0" applyFont="1" applyFill="1" applyBorder="1" applyAlignment="1">
      <alignment horizontal="left"/>
    </xf>
    <xf numFmtId="0" fontId="3" fillId="7" borderId="8" xfId="0" applyFont="1" applyFill="1" applyBorder="1" applyAlignment="1">
      <alignment horizontal="center"/>
    </xf>
    <xf numFmtId="0" fontId="3" fillId="7" borderId="0" xfId="0" applyFont="1" applyFill="1" applyAlignment="1">
      <alignment horizontal="center"/>
    </xf>
    <xf numFmtId="0" fontId="3" fillId="7" borderId="7" xfId="0" applyFont="1" applyFill="1" applyBorder="1" applyAlignment="1">
      <alignment horizontal="center"/>
    </xf>
    <xf numFmtId="0" fontId="14" fillId="7" borderId="8" xfId="0" applyFont="1" applyFill="1" applyBorder="1" applyAlignment="1">
      <alignment horizontal="center"/>
    </xf>
    <xf numFmtId="0" fontId="14" fillId="7" borderId="0" xfId="0" applyFont="1" applyFill="1" applyAlignment="1">
      <alignment horizontal="center"/>
    </xf>
    <xf numFmtId="0" fontId="14" fillId="7" borderId="7" xfId="0" applyFont="1" applyFill="1" applyBorder="1" applyAlignment="1">
      <alignment horizontal="center"/>
    </xf>
    <xf numFmtId="0" fontId="2" fillId="7" borderId="5" xfId="0" applyFont="1" applyFill="1" applyBorder="1" applyAlignment="1">
      <alignment horizontal="left" wrapText="1"/>
    </xf>
    <xf numFmtId="0" fontId="2" fillId="7" borderId="13" xfId="0" applyFont="1" applyFill="1" applyBorder="1" applyAlignment="1">
      <alignment horizontal="left" wrapText="1"/>
    </xf>
    <xf numFmtId="0" fontId="3" fillId="7" borderId="13" xfId="0" applyFont="1" applyFill="1" applyBorder="1" applyAlignment="1">
      <alignment horizontal="left" wrapText="1"/>
    </xf>
    <xf numFmtId="0" fontId="3" fillId="7" borderId="6" xfId="0" applyFont="1" applyFill="1" applyBorder="1" applyAlignment="1">
      <alignment horizontal="left" wrapText="1"/>
    </xf>
    <xf numFmtId="0" fontId="3" fillId="7" borderId="8" xfId="0" applyFont="1" applyFill="1" applyBorder="1" applyAlignment="1">
      <alignment horizontal="left" wrapText="1"/>
    </xf>
    <xf numFmtId="0" fontId="3" fillId="7" borderId="0" xfId="0" applyFont="1" applyFill="1" applyAlignment="1">
      <alignment horizontal="left" wrapText="1"/>
    </xf>
    <xf numFmtId="0" fontId="3" fillId="7" borderId="7" xfId="0" applyFont="1" applyFill="1" applyBorder="1" applyAlignment="1">
      <alignment horizontal="left" wrapText="1"/>
    </xf>
    <xf numFmtId="0" fontId="0" fillId="7" borderId="3" xfId="0" applyFill="1" applyBorder="1" applyAlignment="1">
      <alignment horizontal="center"/>
    </xf>
    <xf numFmtId="0" fontId="0" fillId="7" borderId="12" xfId="0" applyFill="1" applyBorder="1" applyAlignment="1">
      <alignment horizontal="center"/>
    </xf>
    <xf numFmtId="0" fontId="0" fillId="7" borderId="4" xfId="0" applyFill="1" applyBorder="1" applyAlignment="1">
      <alignment horizontal="center"/>
    </xf>
    <xf numFmtId="0" fontId="5" fillId="2" borderId="3" xfId="0" applyFont="1" applyFill="1" applyBorder="1" applyAlignment="1">
      <alignment horizontal="center"/>
    </xf>
    <xf numFmtId="0" fontId="5" fillId="2" borderId="12" xfId="0" applyFont="1" applyFill="1" applyBorder="1" applyAlignment="1">
      <alignment horizontal="center"/>
    </xf>
    <xf numFmtId="0" fontId="5" fillId="2" borderId="4" xfId="0" applyFont="1" applyFill="1" applyBorder="1" applyAlignment="1">
      <alignment horizont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0" fillId="7" borderId="5" xfId="0" applyFill="1" applyBorder="1" applyAlignment="1">
      <alignment horizontal="center" vertical="center"/>
    </xf>
    <xf numFmtId="0" fontId="0" fillId="7" borderId="6" xfId="0" applyFill="1" applyBorder="1" applyAlignment="1">
      <alignment horizontal="center" vertical="center"/>
    </xf>
    <xf numFmtId="0" fontId="2" fillId="7" borderId="14" xfId="0" applyFont="1" applyFill="1" applyBorder="1" applyAlignment="1">
      <alignment horizontal="left" wrapText="1"/>
    </xf>
    <xf numFmtId="0" fontId="2" fillId="7" borderId="15" xfId="0" applyFont="1" applyFill="1" applyBorder="1" applyAlignment="1">
      <alignment horizontal="left" wrapText="1"/>
    </xf>
    <xf numFmtId="0" fontId="2" fillId="7" borderId="16" xfId="0" applyFont="1" applyFill="1" applyBorder="1" applyAlignment="1">
      <alignment horizontal="left" wrapText="1"/>
    </xf>
    <xf numFmtId="0" fontId="3" fillId="7" borderId="53" xfId="0" applyFont="1" applyFill="1" applyBorder="1" applyAlignment="1">
      <alignment horizontal="right" wrapText="1"/>
    </xf>
    <xf numFmtId="0" fontId="3" fillId="7" borderId="51" xfId="0" applyFont="1" applyFill="1" applyBorder="1" applyAlignment="1">
      <alignment horizontal="right" wrapText="1"/>
    </xf>
    <xf numFmtId="0" fontId="6" fillId="0" borderId="0" xfId="0" applyFont="1" applyAlignment="1">
      <alignment horizontal="center" vertical="center"/>
    </xf>
    <xf numFmtId="0" fontId="2" fillId="7" borderId="14" xfId="0" applyFont="1" applyFill="1" applyBorder="1" applyAlignment="1">
      <alignment horizontal="left"/>
    </xf>
    <xf numFmtId="0" fontId="2" fillId="7" borderId="15" xfId="0" applyFont="1" applyFill="1" applyBorder="1" applyAlignment="1">
      <alignment horizontal="left"/>
    </xf>
    <xf numFmtId="0" fontId="2" fillId="7" borderId="16" xfId="0" applyFont="1" applyFill="1" applyBorder="1" applyAlignment="1">
      <alignment horizontal="left"/>
    </xf>
    <xf numFmtId="0" fontId="3" fillId="0" borderId="0" xfId="0" applyFont="1" applyAlignment="1">
      <alignment horizontal="center"/>
    </xf>
    <xf numFmtId="0" fontId="0" fillId="7" borderId="12" xfId="0" applyFill="1" applyBorder="1" applyAlignment="1">
      <alignment horizontal="center" vertical="center"/>
    </xf>
    <xf numFmtId="0" fontId="10" fillId="7" borderId="5" xfId="0" applyFont="1" applyFill="1" applyBorder="1" applyAlignment="1">
      <alignment horizontal="center"/>
    </xf>
    <xf numFmtId="0" fontId="10" fillId="7" borderId="13" xfId="0" applyFont="1" applyFill="1" applyBorder="1" applyAlignment="1">
      <alignment horizontal="center"/>
    </xf>
    <xf numFmtId="0" fontId="10" fillId="7" borderId="6" xfId="0" applyFont="1" applyFill="1" applyBorder="1" applyAlignment="1">
      <alignment horizontal="center"/>
    </xf>
    <xf numFmtId="0" fontId="5" fillId="2" borderId="8" xfId="0" applyFont="1" applyFill="1" applyBorder="1" applyAlignment="1">
      <alignment horizontal="center" wrapText="1"/>
    </xf>
    <xf numFmtId="0" fontId="5" fillId="2" borderId="0" xfId="0" applyFont="1" applyFill="1" applyAlignment="1">
      <alignment horizontal="center" wrapText="1"/>
    </xf>
    <xf numFmtId="0" fontId="5" fillId="2" borderId="5" xfId="0" applyFont="1" applyFill="1" applyBorder="1" applyAlignment="1">
      <alignment horizontal="center" wrapText="1"/>
    </xf>
    <xf numFmtId="0" fontId="5" fillId="2" borderId="13" xfId="0" applyFont="1" applyFill="1" applyBorder="1" applyAlignment="1">
      <alignment horizontal="center" wrapText="1"/>
    </xf>
    <xf numFmtId="0" fontId="5" fillId="2" borderId="7" xfId="0" applyFont="1" applyFill="1" applyBorder="1" applyAlignment="1">
      <alignment horizontal="center" wrapText="1"/>
    </xf>
    <xf numFmtId="0" fontId="5" fillId="2" borderId="6" xfId="0" applyFont="1" applyFill="1" applyBorder="1" applyAlignment="1">
      <alignment horizontal="center" wrapText="1"/>
    </xf>
    <xf numFmtId="0" fontId="2" fillId="3" borderId="1" xfId="0" applyFont="1" applyFill="1" applyBorder="1" applyAlignment="1">
      <alignment horizontal="center" wrapText="1"/>
    </xf>
    <xf numFmtId="0" fontId="2" fillId="3" borderId="42" xfId="0" applyFont="1" applyFill="1" applyBorder="1" applyAlignment="1">
      <alignment horizontal="center" wrapText="1"/>
    </xf>
    <xf numFmtId="0" fontId="2" fillId="7" borderId="4" xfId="0" applyFont="1" applyFill="1" applyBorder="1" applyAlignment="1">
      <alignment horizontal="center" vertical="center"/>
    </xf>
    <xf numFmtId="0" fontId="2" fillId="7" borderId="6" xfId="0" applyFont="1" applyFill="1" applyBorder="1" applyAlignment="1">
      <alignment horizontal="center" vertical="center"/>
    </xf>
    <xf numFmtId="0" fontId="3" fillId="7" borderId="51" xfId="0" applyFont="1" applyFill="1" applyBorder="1" applyAlignment="1">
      <alignment horizontal="left" vertical="center" wrapText="1"/>
    </xf>
    <xf numFmtId="0" fontId="3" fillId="7" borderId="52" xfId="0" applyFont="1" applyFill="1" applyBorder="1" applyAlignment="1">
      <alignment horizontal="left" vertical="center" wrapText="1"/>
    </xf>
    <xf numFmtId="0" fontId="3" fillId="7" borderId="5" xfId="0" applyFont="1" applyFill="1" applyBorder="1" applyAlignment="1">
      <alignment horizontal="left" wrapText="1"/>
    </xf>
    <xf numFmtId="0" fontId="6" fillId="0" borderId="13" xfId="0" applyFont="1" applyBorder="1" applyAlignment="1">
      <alignment horizontal="center" vertical="center"/>
    </xf>
    <xf numFmtId="0" fontId="3" fillId="7" borderId="4" xfId="0" applyFont="1" applyFill="1" applyBorder="1" applyAlignment="1">
      <alignment horizontal="left" wrapText="1"/>
    </xf>
    <xf numFmtId="0" fontId="8" fillId="2" borderId="11" xfId="0" applyFont="1" applyFill="1" applyBorder="1" applyAlignment="1">
      <alignment horizontal="center" vertical="center" textRotation="90"/>
    </xf>
    <xf numFmtId="0" fontId="8" fillId="2" borderId="2" xfId="0" applyFont="1" applyFill="1" applyBorder="1" applyAlignment="1">
      <alignment horizontal="center" vertical="center" textRotation="90"/>
    </xf>
    <xf numFmtId="0" fontId="11" fillId="0" borderId="0" xfId="0" applyFont="1" applyAlignment="1">
      <alignment horizontal="center" vertical="center"/>
    </xf>
    <xf numFmtId="0" fontId="11" fillId="0" borderId="13" xfId="0" applyFont="1" applyBorder="1" applyAlignment="1">
      <alignment horizontal="center" vertical="center"/>
    </xf>
    <xf numFmtId="0" fontId="9" fillId="2" borderId="11" xfId="0" applyFont="1" applyFill="1" applyBorder="1" applyAlignment="1">
      <alignment horizontal="center" vertical="center"/>
    </xf>
    <xf numFmtId="0" fontId="9" fillId="2" borderId="2"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6" xfId="0" applyFont="1" applyFill="1" applyBorder="1" applyAlignment="1">
      <alignment horizontal="center" vertical="center"/>
    </xf>
    <xf numFmtId="0" fontId="7" fillId="2" borderId="9" xfId="0" applyFont="1" applyFill="1" applyBorder="1" applyAlignment="1">
      <alignment horizontal="left"/>
    </xf>
    <xf numFmtId="0" fontId="7" fillId="2" borderId="20" xfId="0" applyFont="1" applyFill="1" applyBorder="1" applyAlignment="1">
      <alignment horizontal="left"/>
    </xf>
    <xf numFmtId="0" fontId="7" fillId="2" borderId="10" xfId="0" applyFont="1" applyFill="1" applyBorder="1" applyAlignment="1">
      <alignment horizontal="left"/>
    </xf>
    <xf numFmtId="0" fontId="9" fillId="2" borderId="1" xfId="0" applyFont="1" applyFill="1" applyBorder="1" applyAlignment="1">
      <alignment horizontal="center" vertical="center"/>
    </xf>
    <xf numFmtId="0" fontId="2" fillId="7" borderId="14" xfId="0" applyFont="1" applyFill="1" applyBorder="1"/>
    <xf numFmtId="0" fontId="2" fillId="7" borderId="15" xfId="0" applyFont="1" applyFill="1" applyBorder="1"/>
    <xf numFmtId="0" fontId="2" fillId="7" borderId="16" xfId="0" applyFont="1" applyFill="1" applyBorder="1"/>
    <xf numFmtId="0" fontId="2" fillId="7" borderId="3" xfId="0" applyFont="1" applyFill="1" applyBorder="1" applyAlignment="1">
      <alignment horizontal="center"/>
    </xf>
    <xf numFmtId="0" fontId="2" fillId="7" borderId="12" xfId="0" applyFont="1" applyFill="1" applyBorder="1" applyAlignment="1">
      <alignment horizontal="center"/>
    </xf>
    <xf numFmtId="0" fontId="2" fillId="7" borderId="4" xfId="0" applyFont="1" applyFill="1" applyBorder="1" applyAlignment="1">
      <alignment horizontal="center"/>
    </xf>
    <xf numFmtId="0" fontId="3" fillId="7" borderId="53" xfId="0" applyFont="1" applyFill="1" applyBorder="1" applyAlignment="1">
      <alignment horizontal="right" vertical="center"/>
    </xf>
    <xf numFmtId="0" fontId="3" fillId="7" borderId="51" xfId="0" applyFont="1" applyFill="1" applyBorder="1" applyAlignment="1">
      <alignment horizontal="right" vertical="center"/>
    </xf>
    <xf numFmtId="0" fontId="3" fillId="7" borderId="5" xfId="0" applyFont="1" applyFill="1" applyBorder="1" applyAlignment="1">
      <alignment horizontal="center" wrapText="1"/>
    </xf>
    <xf numFmtId="0" fontId="3" fillId="7" borderId="13" xfId="0" applyFont="1" applyFill="1" applyBorder="1" applyAlignment="1">
      <alignment horizontal="center" wrapText="1"/>
    </xf>
    <xf numFmtId="0" fontId="3" fillId="7" borderId="6" xfId="0" applyFont="1" applyFill="1" applyBorder="1" applyAlignment="1">
      <alignment horizontal="center" wrapText="1"/>
    </xf>
    <xf numFmtId="0" fontId="13" fillId="0" borderId="20" xfId="0" applyFont="1" applyBorder="1" applyAlignment="1">
      <alignment horizontal="left" vertical="center"/>
    </xf>
    <xf numFmtId="0" fontId="13" fillId="0" borderId="10" xfId="0" applyFont="1" applyBorder="1" applyAlignment="1">
      <alignment horizontal="left" vertical="center"/>
    </xf>
    <xf numFmtId="0" fontId="3" fillId="7" borderId="8" xfId="0" applyFont="1" applyFill="1" applyBorder="1" applyAlignment="1">
      <alignment horizontal="left"/>
    </xf>
    <xf numFmtId="0" fontId="3" fillId="7" borderId="0" xfId="0" applyFont="1" applyFill="1" applyAlignment="1">
      <alignment horizontal="left"/>
    </xf>
    <xf numFmtId="0" fontId="3" fillId="7" borderId="7" xfId="0" applyFont="1" applyFill="1" applyBorder="1" applyAlignment="1">
      <alignment horizontal="left"/>
    </xf>
    <xf numFmtId="0" fontId="3" fillId="7" borderId="44" xfId="0" applyFont="1" applyFill="1" applyBorder="1" applyAlignment="1">
      <alignment horizontal="center"/>
    </xf>
    <xf numFmtId="0" fontId="3" fillId="7" borderId="41" xfId="0" applyFont="1" applyFill="1" applyBorder="1" applyAlignment="1">
      <alignment horizontal="center"/>
    </xf>
    <xf numFmtId="0" fontId="3" fillId="7" borderId="45" xfId="0" applyFont="1" applyFill="1" applyBorder="1" applyAlignment="1">
      <alignment horizontal="center"/>
    </xf>
    <xf numFmtId="0" fontId="3" fillId="7" borderId="5" xfId="0" applyFont="1" applyFill="1" applyBorder="1" applyAlignment="1">
      <alignment horizontal="center"/>
    </xf>
    <xf numFmtId="0" fontId="3" fillId="7" borderId="13" xfId="0" applyFont="1" applyFill="1" applyBorder="1" applyAlignment="1">
      <alignment horizontal="center"/>
    </xf>
    <xf numFmtId="0" fontId="3" fillId="7" borderId="6" xfId="0" applyFont="1" applyFill="1" applyBorder="1" applyAlignment="1">
      <alignment horizontal="center"/>
    </xf>
    <xf numFmtId="0" fontId="3" fillId="7" borderId="0" xfId="0" applyFont="1" applyFill="1" applyAlignment="1">
      <alignment horizontal="left" vertical="top" wrapText="1"/>
    </xf>
    <xf numFmtId="0" fontId="3" fillId="7" borderId="7" xfId="0" applyFont="1" applyFill="1" applyBorder="1" applyAlignment="1">
      <alignment horizontal="left" vertical="top" wrapText="1"/>
    </xf>
    <xf numFmtId="0" fontId="3" fillId="7" borderId="5" xfId="0" applyFont="1" applyFill="1" applyBorder="1"/>
    <xf numFmtId="0" fontId="3" fillId="7" borderId="13" xfId="0" applyFont="1" applyFill="1" applyBorder="1"/>
    <xf numFmtId="0" fontId="3" fillId="7" borderId="6" xfId="0" applyFont="1" applyFill="1" applyBorder="1"/>
    <xf numFmtId="0" fontId="0" fillId="7" borderId="5" xfId="0" applyFill="1" applyBorder="1" applyAlignment="1">
      <alignment horizontal="left"/>
    </xf>
    <xf numFmtId="0" fontId="0" fillId="7" borderId="13" xfId="0" applyFill="1" applyBorder="1" applyAlignment="1">
      <alignment horizontal="left"/>
    </xf>
    <xf numFmtId="0" fontId="0" fillId="7" borderId="6" xfId="0" applyFill="1" applyBorder="1" applyAlignment="1">
      <alignment horizontal="left"/>
    </xf>
    <xf numFmtId="0" fontId="0" fillId="7" borderId="8" xfId="0" applyFill="1" applyBorder="1" applyAlignment="1">
      <alignment horizontal="left" wrapText="1"/>
    </xf>
    <xf numFmtId="0" fontId="0" fillId="7" borderId="0" xfId="0" applyFill="1" applyAlignment="1">
      <alignment horizontal="left" wrapText="1"/>
    </xf>
    <xf numFmtId="0" fontId="0" fillId="7" borderId="7" xfId="0" applyFill="1" applyBorder="1" applyAlignment="1">
      <alignment horizontal="left" wrapText="1"/>
    </xf>
    <xf numFmtId="0" fontId="0" fillId="7" borderId="44" xfId="0" applyFill="1" applyBorder="1" applyAlignment="1">
      <alignment horizontal="left" wrapText="1"/>
    </xf>
    <xf numFmtId="0" fontId="0" fillId="7" borderId="41" xfId="0" applyFill="1" applyBorder="1" applyAlignment="1">
      <alignment horizontal="left" wrapText="1"/>
    </xf>
    <xf numFmtId="0" fontId="0" fillId="7" borderId="45" xfId="0" applyFill="1" applyBorder="1" applyAlignment="1">
      <alignment horizontal="left" wrapText="1"/>
    </xf>
    <xf numFmtId="0" fontId="0" fillId="7" borderId="8" xfId="0" applyFill="1" applyBorder="1" applyAlignment="1">
      <alignment horizontal="left"/>
    </xf>
    <xf numFmtId="0" fontId="0" fillId="7" borderId="0" xfId="0" applyFill="1" applyAlignment="1">
      <alignment horizontal="left"/>
    </xf>
    <xf numFmtId="0" fontId="0" fillId="7" borderId="7" xfId="0" applyFill="1" applyBorder="1" applyAlignment="1">
      <alignment horizontal="left"/>
    </xf>
    <xf numFmtId="0" fontId="12" fillId="7" borderId="62" xfId="0" applyFont="1" applyFill="1" applyBorder="1" applyAlignment="1">
      <alignment horizontal="left"/>
    </xf>
    <xf numFmtId="0" fontId="12" fillId="7" borderId="63" xfId="0" applyFont="1" applyFill="1" applyBorder="1" applyAlignment="1">
      <alignment horizontal="left"/>
    </xf>
    <xf numFmtId="0" fontId="12" fillId="7" borderId="64" xfId="0" applyFont="1" applyFill="1" applyBorder="1" applyAlignment="1">
      <alignment horizontal="left"/>
    </xf>
    <xf numFmtId="0" fontId="0" fillId="7" borderId="8" xfId="0" applyFill="1" applyBorder="1" applyAlignment="1">
      <alignment horizontal="center"/>
    </xf>
    <xf numFmtId="0" fontId="0" fillId="7" borderId="0" xfId="0" applyFill="1" applyAlignment="1">
      <alignment horizontal="center"/>
    </xf>
    <xf numFmtId="0" fontId="0" fillId="7" borderId="7" xfId="0" applyFill="1" applyBorder="1" applyAlignment="1">
      <alignment horizontal="center"/>
    </xf>
    <xf numFmtId="0" fontId="0" fillId="7" borderId="5" xfId="0" applyFill="1" applyBorder="1" applyAlignment="1">
      <alignment horizontal="center"/>
    </xf>
    <xf numFmtId="0" fontId="0" fillId="7" borderId="13" xfId="0" applyFill="1" applyBorder="1" applyAlignment="1">
      <alignment horizontal="center"/>
    </xf>
    <xf numFmtId="0" fontId="0" fillId="7" borderId="6" xfId="0" applyFill="1" applyBorder="1" applyAlignment="1">
      <alignment horizontal="center"/>
    </xf>
    <xf numFmtId="0" fontId="0" fillId="7" borderId="8" xfId="0" applyFill="1" applyBorder="1" applyAlignment="1">
      <alignment horizontal="left" vertical="center" wrapText="1"/>
    </xf>
    <xf numFmtId="0" fontId="0" fillId="7" borderId="0" xfId="0" applyFill="1" applyAlignment="1">
      <alignment horizontal="left" vertical="center" wrapText="1"/>
    </xf>
    <xf numFmtId="0" fontId="0" fillId="7" borderId="7" xfId="0" applyFill="1" applyBorder="1" applyAlignment="1">
      <alignment horizontal="left" vertical="center" wrapText="1"/>
    </xf>
    <xf numFmtId="0" fontId="12" fillId="7" borderId="8" xfId="0" applyFont="1" applyFill="1" applyBorder="1" applyAlignment="1">
      <alignment horizontal="left" vertical="center"/>
    </xf>
    <xf numFmtId="0" fontId="12" fillId="7" borderId="0" xfId="0" applyFont="1" applyFill="1" applyAlignment="1">
      <alignment horizontal="left" vertical="center"/>
    </xf>
    <xf numFmtId="0" fontId="12" fillId="7" borderId="7" xfId="0" applyFont="1" applyFill="1" applyBorder="1" applyAlignment="1">
      <alignment horizontal="left" vertical="center"/>
    </xf>
    <xf numFmtId="0" fontId="0" fillId="7" borderId="44" xfId="0" applyFill="1" applyBorder="1" applyAlignment="1">
      <alignment horizontal="left" vertical="center" wrapText="1"/>
    </xf>
    <xf numFmtId="0" fontId="0" fillId="7" borderId="41" xfId="0" applyFill="1" applyBorder="1" applyAlignment="1">
      <alignment horizontal="left" vertical="center" wrapText="1"/>
    </xf>
    <xf numFmtId="0" fontId="0" fillId="7" borderId="45" xfId="0" applyFill="1" applyBorder="1" applyAlignment="1">
      <alignment horizontal="left" vertical="center" wrapText="1"/>
    </xf>
    <xf numFmtId="0" fontId="7" fillId="2" borderId="3" xfId="0" applyFont="1" applyFill="1" applyBorder="1" applyAlignment="1">
      <alignment horizontal="left" vertical="top"/>
    </xf>
    <xf numFmtId="0" fontId="7" fillId="2" borderId="12" xfId="0" applyFont="1" applyFill="1" applyBorder="1" applyAlignment="1">
      <alignment horizontal="left" vertical="top"/>
    </xf>
    <xf numFmtId="0" fontId="12" fillId="7" borderId="3" xfId="0" applyFont="1" applyFill="1" applyBorder="1" applyAlignment="1">
      <alignment horizontal="left" vertical="top"/>
    </xf>
    <xf numFmtId="0" fontId="12" fillId="7" borderId="12" xfId="0" applyFont="1" applyFill="1" applyBorder="1" applyAlignment="1">
      <alignment horizontal="left" vertical="top"/>
    </xf>
    <xf numFmtId="0" fontId="12" fillId="7" borderId="4" xfId="0" applyFont="1" applyFill="1" applyBorder="1" applyAlignment="1">
      <alignment horizontal="left" vertical="top"/>
    </xf>
    <xf numFmtId="0" fontId="0" fillId="0" borderId="0" xfId="0" quotePrefix="1" applyAlignment="1">
      <alignment horizontal="left"/>
    </xf>
    <xf numFmtId="0" fontId="13" fillId="0" borderId="9" xfId="0" applyFont="1" applyBorder="1" applyAlignment="1">
      <alignment vertical="top"/>
    </xf>
    <xf numFmtId="0" fontId="13" fillId="0" borderId="20" xfId="0" applyFont="1" applyBorder="1" applyAlignment="1">
      <alignment vertical="top"/>
    </xf>
    <xf numFmtId="0" fontId="13" fillId="0" borderId="10" xfId="0" applyFont="1" applyBorder="1" applyAlignment="1">
      <alignment vertical="top"/>
    </xf>
    <xf numFmtId="0" fontId="0" fillId="7" borderId="44" xfId="0" quotePrefix="1" applyFill="1" applyBorder="1" applyAlignment="1">
      <alignment horizontal="left"/>
    </xf>
    <xf numFmtId="0" fontId="0" fillId="7" borderId="41" xfId="0" quotePrefix="1" applyFill="1" applyBorder="1" applyAlignment="1">
      <alignment horizontal="left"/>
    </xf>
    <xf numFmtId="0" fontId="0" fillId="7" borderId="45" xfId="0" quotePrefix="1" applyFill="1" applyBorder="1" applyAlignment="1">
      <alignment horizontal="left"/>
    </xf>
    <xf numFmtId="0" fontId="0" fillId="0" borderId="9" xfId="0" quotePrefix="1" applyBorder="1" applyAlignment="1">
      <alignment horizontal="left"/>
    </xf>
    <xf numFmtId="0" fontId="0" fillId="0" borderId="10" xfId="0" quotePrefix="1" applyBorder="1" applyAlignment="1">
      <alignment horizontal="left"/>
    </xf>
    <xf numFmtId="0" fontId="12" fillId="7" borderId="62" xfId="0" applyFont="1" applyFill="1" applyBorder="1" applyAlignment="1">
      <alignment horizontal="left" vertical="center"/>
    </xf>
    <xf numFmtId="0" fontId="12" fillId="7" borderId="63" xfId="0" applyFont="1" applyFill="1" applyBorder="1" applyAlignment="1">
      <alignment horizontal="left" vertical="center"/>
    </xf>
    <xf numFmtId="0" fontId="12" fillId="7" borderId="64" xfId="0" applyFont="1" applyFill="1" applyBorder="1" applyAlignment="1">
      <alignment horizontal="left" vertical="center"/>
    </xf>
    <xf numFmtId="0" fontId="12" fillId="7" borderId="8" xfId="0" applyFont="1" applyFill="1" applyBorder="1" applyAlignment="1">
      <alignment horizontal="left"/>
    </xf>
    <xf numFmtId="0" fontId="12" fillId="7" borderId="0" xfId="0" applyFont="1" applyFill="1" applyAlignment="1">
      <alignment horizontal="left"/>
    </xf>
    <xf numFmtId="0" fontId="12" fillId="7" borderId="7" xfId="0" applyFont="1" applyFill="1" applyBorder="1" applyAlignment="1">
      <alignment horizontal="left"/>
    </xf>
    <xf numFmtId="0" fontId="0" fillId="7" borderId="5" xfId="0" applyFill="1" applyBorder="1" applyAlignment="1">
      <alignment horizontal="left" vertical="center" wrapText="1"/>
    </xf>
    <xf numFmtId="0" fontId="0" fillId="7" borderId="13" xfId="0" applyFill="1" applyBorder="1" applyAlignment="1">
      <alignment horizontal="left" vertical="center" wrapText="1"/>
    </xf>
    <xf numFmtId="0" fontId="0" fillId="7" borderId="6" xfId="0" applyFill="1" applyBorder="1" applyAlignment="1">
      <alignment horizontal="left" vertical="center" wrapText="1"/>
    </xf>
    <xf numFmtId="0" fontId="0" fillId="7" borderId="8" xfId="0" applyFill="1" applyBorder="1" applyAlignment="1">
      <alignment horizontal="left" vertical="top" wrapText="1"/>
    </xf>
    <xf numFmtId="0" fontId="0" fillId="7" borderId="0" xfId="0" applyFill="1" applyAlignment="1">
      <alignment horizontal="left" vertical="top" wrapText="1"/>
    </xf>
    <xf numFmtId="0" fontId="0" fillId="7" borderId="7" xfId="0" applyFill="1" applyBorder="1" applyAlignment="1">
      <alignment horizontal="left" vertical="top" wrapText="1"/>
    </xf>
    <xf numFmtId="0" fontId="0" fillId="0" borderId="0" xfId="0" applyAlignment="1">
      <alignment horizontal="center"/>
    </xf>
    <xf numFmtId="0" fontId="1" fillId="6" borderId="22" xfId="0" applyFont="1" applyFill="1" applyBorder="1" applyAlignment="1">
      <alignment horizontal="center" wrapText="1"/>
    </xf>
    <xf numFmtId="0" fontId="1" fillId="6" borderId="23" xfId="0" applyFont="1" applyFill="1" applyBorder="1" applyAlignment="1">
      <alignment horizontal="center" wrapText="1"/>
    </xf>
    <xf numFmtId="0" fontId="1" fillId="6" borderId="24" xfId="0" applyFont="1" applyFill="1" applyBorder="1" applyAlignment="1">
      <alignment horizontal="center" wrapText="1"/>
    </xf>
    <xf numFmtId="0" fontId="1" fillId="6" borderId="50" xfId="0" applyFont="1" applyFill="1" applyBorder="1" applyAlignment="1">
      <alignment horizontal="center" wrapText="1"/>
    </xf>
    <xf numFmtId="0" fontId="1" fillId="6" borderId="22" xfId="0" applyFont="1" applyFill="1" applyBorder="1" applyAlignment="1">
      <alignment horizontal="center" vertical="center" wrapText="1"/>
    </xf>
    <xf numFmtId="0" fontId="1" fillId="6" borderId="2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B3B3"/>
      <color rgb="FFFFE7E7"/>
      <color rgb="FFFFD9D9"/>
      <color rgb="FFFFCCCC"/>
      <color rgb="FFFF6699"/>
      <color rgb="FFFF7C80"/>
      <color rgb="FFFFCC99"/>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5"/>
  <sheetViews>
    <sheetView tabSelected="1" topLeftCell="A38" zoomScale="130" zoomScaleNormal="130" workbookViewId="0">
      <selection activeCell="I24" sqref="I24"/>
    </sheetView>
  </sheetViews>
  <sheetFormatPr baseColWidth="10" defaultColWidth="9.140625" defaultRowHeight="15" x14ac:dyDescent="0.25"/>
  <cols>
    <col min="1" max="3" width="4.7109375" customWidth="1"/>
    <col min="4" max="4" width="6.28515625" customWidth="1"/>
    <col min="5" max="5" width="10.5703125" customWidth="1"/>
    <col min="6" max="6" width="4" customWidth="1"/>
    <col min="7" max="7" width="11.7109375" customWidth="1"/>
    <col min="8" max="8" width="9.7109375" customWidth="1"/>
    <col min="9" max="9" width="11.7109375" customWidth="1"/>
    <col min="10" max="10" width="3" customWidth="1"/>
    <col min="11" max="12" width="7.7109375" customWidth="1"/>
    <col min="13" max="13" width="11.5703125" customWidth="1"/>
    <col min="14" max="14" width="7.7109375" customWidth="1"/>
    <col min="15" max="15" width="4.140625" customWidth="1"/>
    <col min="16" max="16" width="3.85546875" customWidth="1"/>
    <col min="17" max="17" width="3.5703125" customWidth="1"/>
  </cols>
  <sheetData>
    <row r="1" spans="1:22" ht="14.1" customHeight="1" thickBot="1" x14ac:dyDescent="0.3">
      <c r="A1" s="144" t="e" vm="1">
        <v>#VALUE!</v>
      </c>
      <c r="B1" s="144"/>
      <c r="C1" s="144"/>
      <c r="D1" s="144"/>
      <c r="E1" s="144"/>
      <c r="F1" s="30"/>
      <c r="G1" s="33" t="s">
        <v>37</v>
      </c>
      <c r="H1" s="83"/>
      <c r="I1" s="84"/>
      <c r="K1" s="48" t="s">
        <v>39</v>
      </c>
      <c r="L1" s="30"/>
      <c r="N1" s="30"/>
    </row>
    <row r="2" spans="1:22" ht="14.1" customHeight="1" x14ac:dyDescent="0.25">
      <c r="A2" s="144"/>
      <c r="B2" s="144"/>
      <c r="C2" s="144"/>
      <c r="D2" s="144"/>
      <c r="E2" s="144"/>
      <c r="F2" s="30"/>
      <c r="G2" s="85" t="s">
        <v>19</v>
      </c>
      <c r="H2" s="87"/>
      <c r="I2" s="88"/>
      <c r="K2" s="176" t="s">
        <v>36</v>
      </c>
      <c r="L2" s="177"/>
      <c r="M2" s="178"/>
    </row>
    <row r="3" spans="1:22" ht="14.1" customHeight="1" thickBot="1" x14ac:dyDescent="0.3">
      <c r="A3" s="144"/>
      <c r="B3" s="144"/>
      <c r="C3" s="144"/>
      <c r="D3" s="144"/>
      <c r="E3" s="144"/>
      <c r="F3" s="30"/>
      <c r="G3" s="86"/>
      <c r="H3" s="89"/>
      <c r="I3" s="90"/>
      <c r="K3" s="91" t="s">
        <v>60</v>
      </c>
      <c r="L3" s="92"/>
      <c r="M3" s="93"/>
    </row>
    <row r="4" spans="1:22" ht="14.1" customHeight="1" thickBot="1" x14ac:dyDescent="0.3">
      <c r="A4" s="144"/>
      <c r="B4" s="144"/>
      <c r="C4" s="144"/>
      <c r="D4" s="144"/>
      <c r="E4" s="144"/>
      <c r="F4" s="30"/>
      <c r="G4" s="85" t="s">
        <v>34</v>
      </c>
      <c r="H4" s="87"/>
      <c r="I4" s="88"/>
      <c r="K4" s="49" t="s">
        <v>69</v>
      </c>
      <c r="L4" s="41"/>
      <c r="M4" s="37"/>
    </row>
    <row r="5" spans="1:22" ht="14.1" customHeight="1" thickBot="1" x14ac:dyDescent="0.3">
      <c r="A5" s="72" t="s">
        <v>67</v>
      </c>
      <c r="B5" s="187" t="s">
        <v>46</v>
      </c>
      <c r="C5" s="187"/>
      <c r="D5" s="188"/>
      <c r="E5" s="55"/>
      <c r="F5" s="30"/>
      <c r="G5" s="86"/>
      <c r="H5" s="89"/>
      <c r="I5" s="90"/>
      <c r="K5" s="58" t="s">
        <v>54</v>
      </c>
      <c r="L5" s="41"/>
      <c r="M5" s="37"/>
    </row>
    <row r="6" spans="1:22" ht="14.1" customHeight="1" thickBot="1" x14ac:dyDescent="0.3">
      <c r="F6" s="30"/>
      <c r="G6" s="33" t="s">
        <v>20</v>
      </c>
      <c r="H6" s="83" t="s">
        <v>35</v>
      </c>
      <c r="I6" s="84"/>
      <c r="K6" s="94"/>
      <c r="L6" s="95"/>
      <c r="M6" s="96"/>
    </row>
    <row r="7" spans="1:22" ht="14.1" customHeight="1" thickBot="1" x14ac:dyDescent="0.3">
      <c r="A7" s="141" t="s">
        <v>38</v>
      </c>
      <c r="B7" s="142"/>
      <c r="C7" s="142"/>
      <c r="D7" s="143"/>
      <c r="E7" s="34" t="s">
        <v>41</v>
      </c>
      <c r="F7" s="30"/>
      <c r="G7" s="33" t="s">
        <v>21</v>
      </c>
      <c r="H7" s="83"/>
      <c r="I7" s="84"/>
      <c r="K7" s="91"/>
      <c r="L7" s="92"/>
      <c r="M7" s="93"/>
      <c r="U7" s="30"/>
      <c r="V7" s="30"/>
    </row>
    <row r="8" spans="1:22" ht="14.1" customHeight="1" thickBot="1" x14ac:dyDescent="0.3">
      <c r="A8" s="161"/>
      <c r="B8" s="120"/>
      <c r="C8" s="120"/>
      <c r="D8" s="121"/>
      <c r="E8" s="35">
        <v>1</v>
      </c>
      <c r="F8" s="30"/>
      <c r="G8" s="33" t="s">
        <v>22</v>
      </c>
      <c r="H8" s="83" t="s">
        <v>12</v>
      </c>
      <c r="I8" s="84"/>
      <c r="K8" s="91"/>
      <c r="L8" s="92"/>
      <c r="M8" s="93"/>
    </row>
    <row r="9" spans="1:22" ht="14.1" customHeight="1" thickBot="1" x14ac:dyDescent="0.3">
      <c r="A9" s="30"/>
      <c r="B9" s="30"/>
      <c r="C9" s="30"/>
      <c r="D9" s="30"/>
      <c r="E9" s="30"/>
      <c r="F9" s="30"/>
      <c r="K9" s="91"/>
      <c r="L9" s="92"/>
      <c r="M9" s="93"/>
    </row>
    <row r="10" spans="1:22" ht="14.1" customHeight="1" thickBot="1" x14ac:dyDescent="0.3">
      <c r="A10" s="73" t="s">
        <v>77</v>
      </c>
      <c r="B10" s="74"/>
      <c r="C10" s="74"/>
      <c r="D10" s="75"/>
      <c r="E10" s="155" t="s">
        <v>31</v>
      </c>
      <c r="F10" s="30"/>
      <c r="G10" s="179" t="s">
        <v>44</v>
      </c>
      <c r="H10" s="180"/>
      <c r="I10" s="181"/>
      <c r="K10" s="97"/>
      <c r="L10" s="98"/>
      <c r="M10" s="99"/>
    </row>
    <row r="11" spans="1:22" ht="14.1" customHeight="1" x14ac:dyDescent="0.25">
      <c r="A11" s="100" t="s">
        <v>71</v>
      </c>
      <c r="B11" s="101"/>
      <c r="C11" s="101"/>
      <c r="D11" s="102"/>
      <c r="E11" s="156"/>
      <c r="F11" s="30"/>
      <c r="G11" s="109"/>
      <c r="H11" s="110"/>
      <c r="I11" s="111"/>
      <c r="K11" s="106"/>
      <c r="L11" s="107"/>
      <c r="M11" s="108"/>
    </row>
    <row r="12" spans="1:22" ht="14.1" customHeight="1" thickBot="1" x14ac:dyDescent="0.3">
      <c r="A12" s="138"/>
      <c r="B12" s="139"/>
      <c r="C12" s="159" t="str">
        <f>_xlfn.CONCAT("/",IF(A32=0,20,20 + A32*IF(Modifiers!O5,Modifiers!O5,20)) + Modifiers!N5)</f>
        <v>/40</v>
      </c>
      <c r="D12" s="160"/>
      <c r="E12" s="31"/>
      <c r="F12" s="30"/>
      <c r="G12" s="112"/>
      <c r="H12" s="113"/>
      <c r="I12" s="114"/>
      <c r="K12" s="91"/>
      <c r="L12" s="92"/>
      <c r="M12" s="93"/>
    </row>
    <row r="13" spans="1:22" ht="14.1" customHeight="1" thickBot="1" x14ac:dyDescent="0.3">
      <c r="A13" s="30"/>
      <c r="B13" s="30"/>
      <c r="C13" s="30"/>
      <c r="D13" s="30"/>
      <c r="E13" s="30"/>
      <c r="F13" s="30"/>
      <c r="G13" s="112"/>
      <c r="H13" s="113"/>
      <c r="I13" s="114"/>
      <c r="K13" s="91"/>
      <c r="L13" s="92"/>
      <c r="M13" s="93"/>
    </row>
    <row r="14" spans="1:22" ht="14.1" customHeight="1" x14ac:dyDescent="0.25">
      <c r="A14" s="73" t="s">
        <v>72</v>
      </c>
      <c r="B14" s="74"/>
      <c r="C14" s="74"/>
      <c r="D14" s="75"/>
      <c r="E14" s="155" t="s">
        <v>31</v>
      </c>
      <c r="F14" s="30"/>
      <c r="G14" s="112"/>
      <c r="H14" s="113"/>
      <c r="I14" s="114"/>
      <c r="K14" s="91"/>
      <c r="L14" s="92"/>
      <c r="M14" s="93"/>
    </row>
    <row r="15" spans="1:22" ht="14.1" customHeight="1" x14ac:dyDescent="0.25">
      <c r="A15" s="100" t="s">
        <v>73</v>
      </c>
      <c r="B15" s="101"/>
      <c r="C15" s="101"/>
      <c r="D15" s="102"/>
      <c r="E15" s="156"/>
      <c r="F15" s="30"/>
      <c r="G15" s="115"/>
      <c r="H15" s="116"/>
      <c r="I15" s="117"/>
      <c r="K15" s="91"/>
      <c r="L15" s="92"/>
      <c r="M15" s="93"/>
    </row>
    <row r="16" spans="1:22" ht="14.1" customHeight="1" thickBot="1" x14ac:dyDescent="0.3">
      <c r="A16" s="138"/>
      <c r="B16" s="139"/>
      <c r="C16" s="159" t="str">
        <f>_xlfn.CONCAT("/",IF(A34=0,20,20 + A34 * IF(Modifiers!O6,Modifiers!O6,20)) + Modifiers!N6)</f>
        <v>/40</v>
      </c>
      <c r="D16" s="160"/>
      <c r="E16" s="31"/>
      <c r="F16" s="30"/>
      <c r="G16" s="112"/>
      <c r="H16" s="113"/>
      <c r="I16" s="114"/>
      <c r="K16" s="91"/>
      <c r="L16" s="92"/>
      <c r="M16" s="93"/>
    </row>
    <row r="17" spans="1:14" ht="14.1" customHeight="1" thickBot="1" x14ac:dyDescent="0.3">
      <c r="A17" s="30"/>
      <c r="B17" s="30"/>
      <c r="C17" s="30"/>
      <c r="D17" s="30"/>
      <c r="E17" s="30"/>
      <c r="F17" s="30"/>
      <c r="G17" s="112"/>
      <c r="H17" s="113"/>
      <c r="I17" s="114"/>
      <c r="K17" s="91"/>
      <c r="L17" s="92"/>
      <c r="M17" s="93"/>
    </row>
    <row r="18" spans="1:14" ht="14.1" customHeight="1" x14ac:dyDescent="0.25">
      <c r="A18" s="73" t="s">
        <v>74</v>
      </c>
      <c r="B18" s="74"/>
      <c r="C18" s="76"/>
      <c r="D18" s="157"/>
      <c r="E18" s="155" t="s">
        <v>32</v>
      </c>
      <c r="F18" s="30"/>
      <c r="G18" s="192"/>
      <c r="H18" s="193"/>
      <c r="I18" s="194"/>
      <c r="K18" s="91"/>
      <c r="L18" s="92"/>
      <c r="M18" s="93"/>
    </row>
    <row r="19" spans="1:14" ht="14.1" customHeight="1" thickBot="1" x14ac:dyDescent="0.3">
      <c r="A19" s="103" t="s">
        <v>41</v>
      </c>
      <c r="B19" s="104"/>
      <c r="C19" s="105"/>
      <c r="D19" s="158"/>
      <c r="E19" s="156"/>
      <c r="F19" s="30"/>
      <c r="G19" s="189"/>
      <c r="H19" s="190"/>
      <c r="I19" s="191"/>
      <c r="K19" s="91"/>
      <c r="L19" s="92"/>
      <c r="M19" s="93"/>
    </row>
    <row r="20" spans="1:14" ht="14.1" customHeight="1" thickBot="1" x14ac:dyDescent="0.3">
      <c r="A20" s="135" t="s">
        <v>23</v>
      </c>
      <c r="B20" s="136"/>
      <c r="C20" s="136"/>
      <c r="D20" s="137"/>
      <c r="E20" s="32" t="str">
        <f>_xlfn.CONCAT("+",IF(Modifiers!K6="Edge",_xlfn.CONCAT(A34,"E"),A34))</f>
        <v>+1</v>
      </c>
      <c r="F20" s="30"/>
      <c r="G20" s="112"/>
      <c r="H20" s="113"/>
      <c r="I20" s="114"/>
      <c r="K20" s="91"/>
      <c r="L20" s="92"/>
      <c r="M20" s="93"/>
    </row>
    <row r="21" spans="1:14" ht="14.1" customHeight="1" thickBot="1" x14ac:dyDescent="0.3">
      <c r="A21" s="122" t="s">
        <v>47</v>
      </c>
      <c r="B21" s="123"/>
      <c r="C21" s="123"/>
      <c r="D21" s="123"/>
      <c r="E21" s="163"/>
      <c r="F21" s="30"/>
      <c r="G21" s="195"/>
      <c r="H21" s="196"/>
      <c r="I21" s="197"/>
      <c r="K21" s="200"/>
      <c r="L21" s="201"/>
      <c r="M21" s="202"/>
    </row>
    <row r="22" spans="1:14" ht="14.1" customHeight="1" thickBot="1" x14ac:dyDescent="0.3">
      <c r="A22" s="122"/>
      <c r="B22" s="123"/>
      <c r="C22" s="123"/>
      <c r="D22" s="123"/>
      <c r="E22" s="124"/>
      <c r="F22" s="30"/>
      <c r="J22" s="30"/>
      <c r="K22" s="30"/>
      <c r="L22" s="30"/>
      <c r="M22" s="30"/>
      <c r="N22" s="30"/>
    </row>
    <row r="23" spans="1:14" ht="14.1" customHeight="1" thickBot="1" x14ac:dyDescent="0.3">
      <c r="A23" s="118"/>
      <c r="B23" s="119"/>
      <c r="C23" s="120"/>
      <c r="D23" s="120"/>
      <c r="E23" s="121"/>
      <c r="F23" s="30"/>
      <c r="G23" s="43" t="s">
        <v>18</v>
      </c>
      <c r="H23" s="30"/>
      <c r="I23" s="30"/>
      <c r="J23" s="30"/>
      <c r="K23" s="30"/>
      <c r="L23" s="30"/>
      <c r="M23" s="30"/>
      <c r="N23" s="30"/>
    </row>
    <row r="24" spans="1:14" ht="14.1" customHeight="1" thickBot="1" x14ac:dyDescent="0.3">
      <c r="A24" s="30"/>
      <c r="B24" s="30"/>
      <c r="C24" s="30"/>
      <c r="D24" s="30"/>
      <c r="E24" s="30"/>
      <c r="F24" s="30"/>
      <c r="G24" s="44" t="s">
        <v>61</v>
      </c>
      <c r="H24" s="45"/>
      <c r="I24" s="39" t="s">
        <v>89</v>
      </c>
      <c r="J24" s="39"/>
      <c r="K24" s="39"/>
      <c r="L24" s="39"/>
      <c r="M24" s="40"/>
    </row>
    <row r="25" spans="1:14" ht="14.1" customHeight="1" x14ac:dyDescent="0.25">
      <c r="A25" s="128" t="s">
        <v>25</v>
      </c>
      <c r="B25" s="129"/>
      <c r="C25" s="129"/>
      <c r="D25" s="129"/>
      <c r="E25" s="130"/>
      <c r="F25" s="30"/>
      <c r="G25" s="46"/>
      <c r="H25" s="47"/>
      <c r="I25" s="41"/>
      <c r="J25" s="41"/>
      <c r="K25" s="41"/>
      <c r="L25" s="41"/>
      <c r="M25" s="37"/>
    </row>
    <row r="26" spans="1:14" ht="14.1" customHeight="1" x14ac:dyDescent="0.25">
      <c r="A26" s="149" t="s">
        <v>26</v>
      </c>
      <c r="B26" s="150"/>
      <c r="C26" s="150"/>
      <c r="D26" s="150" t="s">
        <v>27</v>
      </c>
      <c r="E26" s="153"/>
      <c r="F26" s="30"/>
      <c r="G26" s="46"/>
      <c r="H26" s="47"/>
      <c r="I26" s="41"/>
      <c r="J26" s="41"/>
      <c r="K26" s="41"/>
      <c r="L26" s="41"/>
      <c r="M26" s="37"/>
    </row>
    <row r="27" spans="1:14" ht="14.1" customHeight="1" thickBot="1" x14ac:dyDescent="0.3">
      <c r="A27" s="151"/>
      <c r="B27" s="152"/>
      <c r="C27" s="152"/>
      <c r="D27" s="152"/>
      <c r="E27" s="154"/>
      <c r="F27" s="30"/>
      <c r="G27" s="46" t="s">
        <v>48</v>
      </c>
      <c r="H27" s="47"/>
      <c r="I27" s="198" t="s">
        <v>83</v>
      </c>
      <c r="J27" s="198"/>
      <c r="K27" s="198"/>
      <c r="L27" s="198"/>
      <c r="M27" s="199"/>
    </row>
    <row r="28" spans="1:14" ht="14.1" customHeight="1" x14ac:dyDescent="0.25">
      <c r="A28" s="125">
        <v>0</v>
      </c>
      <c r="B28" s="126"/>
      <c r="C28" s="127"/>
      <c r="D28" s="131">
        <f xml:space="preserve"> 10 + A28 + Modifiers!B3</f>
        <v>10</v>
      </c>
      <c r="E28" s="132"/>
      <c r="F28" s="30"/>
      <c r="G28" s="46"/>
      <c r="H28" s="47"/>
      <c r="I28" s="198"/>
      <c r="J28" s="198"/>
      <c r="K28" s="198"/>
      <c r="L28" s="198"/>
      <c r="M28" s="199"/>
    </row>
    <row r="29" spans="1:14" ht="14.1" customHeight="1" thickBot="1" x14ac:dyDescent="0.3">
      <c r="A29" s="146" t="s">
        <v>68</v>
      </c>
      <c r="B29" s="147"/>
      <c r="C29" s="148"/>
      <c r="D29" s="133"/>
      <c r="E29" s="134"/>
      <c r="F29" s="30"/>
      <c r="G29" s="46"/>
      <c r="H29" s="47"/>
      <c r="I29" s="198"/>
      <c r="J29" s="198"/>
      <c r="K29" s="198"/>
      <c r="L29" s="198"/>
      <c r="M29" s="199"/>
    </row>
    <row r="30" spans="1:14" ht="14.1" customHeight="1" x14ac:dyDescent="0.25">
      <c r="A30" s="125">
        <v>1</v>
      </c>
      <c r="B30" s="126"/>
      <c r="C30" s="127"/>
      <c r="D30" s="131">
        <f>IF(Modifiers!C4,Modifiers!C4,10 + A30 + Modifiers!B4)</f>
        <v>11</v>
      </c>
      <c r="E30" s="132"/>
      <c r="F30" s="30"/>
      <c r="G30" s="46"/>
      <c r="H30" s="47"/>
      <c r="I30" s="41"/>
      <c r="J30" s="41"/>
      <c r="K30" s="41"/>
      <c r="L30" s="41"/>
      <c r="M30" s="37"/>
    </row>
    <row r="31" spans="1:14" ht="14.1" customHeight="1" thickBot="1" x14ac:dyDescent="0.3">
      <c r="A31" s="146" t="s">
        <v>28</v>
      </c>
      <c r="B31" s="147"/>
      <c r="C31" s="148"/>
      <c r="D31" s="133"/>
      <c r="E31" s="134"/>
      <c r="F31" s="30"/>
      <c r="G31" s="46"/>
      <c r="H31" s="47"/>
      <c r="I31" s="41"/>
      <c r="J31" s="41"/>
      <c r="K31" s="41"/>
      <c r="L31" s="41"/>
      <c r="M31" s="37"/>
    </row>
    <row r="32" spans="1:14" ht="14.1" customHeight="1" x14ac:dyDescent="0.25">
      <c r="A32" s="125">
        <v>1</v>
      </c>
      <c r="B32" s="126"/>
      <c r="C32" s="127"/>
      <c r="D32" s="131">
        <f xml:space="preserve"> 10 + A32 + Modifiers!B5</f>
        <v>11</v>
      </c>
      <c r="E32" s="132"/>
      <c r="F32" s="30"/>
      <c r="G32" s="46"/>
      <c r="H32" s="47"/>
      <c r="I32" s="41"/>
      <c r="J32" s="41"/>
      <c r="K32" s="41"/>
      <c r="L32" s="41"/>
      <c r="M32" s="37"/>
    </row>
    <row r="33" spans="1:14" ht="14.1" customHeight="1" thickBot="1" x14ac:dyDescent="0.3">
      <c r="A33" s="146" t="s">
        <v>30</v>
      </c>
      <c r="B33" s="147"/>
      <c r="C33" s="148"/>
      <c r="D33" s="133"/>
      <c r="E33" s="134"/>
      <c r="F33" s="30"/>
      <c r="G33" s="46"/>
      <c r="H33" s="47"/>
      <c r="I33" s="41"/>
      <c r="J33" s="41"/>
      <c r="K33" s="41"/>
      <c r="L33" s="41"/>
      <c r="M33" s="37"/>
    </row>
    <row r="34" spans="1:14" ht="14.1" customHeight="1" x14ac:dyDescent="0.25">
      <c r="A34" s="125">
        <v>1</v>
      </c>
      <c r="B34" s="126"/>
      <c r="C34" s="127"/>
      <c r="D34" s="131">
        <f xml:space="preserve"> 10 + A34 + Modifiers!B6</f>
        <v>11</v>
      </c>
      <c r="E34" s="132"/>
      <c r="F34" s="30"/>
      <c r="G34" s="46"/>
      <c r="H34" s="47"/>
      <c r="I34" s="41"/>
      <c r="J34" s="41"/>
      <c r="K34" s="41"/>
      <c r="L34" s="41"/>
      <c r="M34" s="37"/>
    </row>
    <row r="35" spans="1:14" ht="14.1" customHeight="1" thickBot="1" x14ac:dyDescent="0.3">
      <c r="A35" s="146" t="s">
        <v>29</v>
      </c>
      <c r="B35" s="147"/>
      <c r="C35" s="148"/>
      <c r="D35" s="133"/>
      <c r="E35" s="134"/>
      <c r="F35" s="30"/>
      <c r="G35" s="46"/>
      <c r="H35" s="47"/>
      <c r="I35" s="41"/>
      <c r="J35" s="41"/>
      <c r="K35" s="41"/>
      <c r="L35" s="41"/>
      <c r="M35" s="37"/>
    </row>
    <row r="36" spans="1:14" ht="14.1" customHeight="1" x14ac:dyDescent="0.25">
      <c r="A36" s="125">
        <v>3</v>
      </c>
      <c r="B36" s="126"/>
      <c r="C36" s="127"/>
      <c r="D36" s="131">
        <f xml:space="preserve"> 10 + A36 + Modifiers!B7</f>
        <v>13</v>
      </c>
      <c r="E36" s="132"/>
      <c r="F36" s="30"/>
      <c r="G36" s="46"/>
      <c r="H36" s="47"/>
      <c r="I36" s="41"/>
      <c r="J36" s="41"/>
      <c r="K36" s="41"/>
      <c r="L36" s="41"/>
      <c r="M36" s="37"/>
    </row>
    <row r="37" spans="1:14" ht="14.1" customHeight="1" thickBot="1" x14ac:dyDescent="0.3">
      <c r="A37" s="146" t="s">
        <v>5</v>
      </c>
      <c r="B37" s="147"/>
      <c r="C37" s="148"/>
      <c r="D37" s="133"/>
      <c r="E37" s="134"/>
      <c r="F37" s="30"/>
      <c r="G37" s="46"/>
      <c r="H37" s="47"/>
      <c r="I37" s="41"/>
      <c r="J37" s="41"/>
      <c r="K37" s="41"/>
      <c r="L37" s="41"/>
      <c r="M37" s="37"/>
    </row>
    <row r="38" spans="1:14" ht="14.1" customHeight="1" x14ac:dyDescent="0.25">
      <c r="A38" s="131">
        <v>0</v>
      </c>
      <c r="B38" s="145"/>
      <c r="C38" s="132"/>
      <c r="D38" s="131">
        <f xml:space="preserve"> 10 + A38 + Modifiers!B8</f>
        <v>10</v>
      </c>
      <c r="E38" s="132"/>
      <c r="F38" s="30"/>
      <c r="G38" s="46"/>
      <c r="H38" s="47"/>
      <c r="I38" s="41"/>
      <c r="J38" s="41"/>
      <c r="K38" s="41"/>
      <c r="L38" s="41"/>
      <c r="M38" s="37"/>
    </row>
    <row r="39" spans="1:14" ht="14.1" customHeight="1" thickBot="1" x14ac:dyDescent="0.3">
      <c r="A39" s="146" t="s">
        <v>33</v>
      </c>
      <c r="B39" s="147"/>
      <c r="C39" s="148"/>
      <c r="D39" s="133"/>
      <c r="E39" s="134"/>
      <c r="F39" s="30"/>
      <c r="G39" s="46"/>
      <c r="H39" s="47"/>
      <c r="I39" s="41"/>
      <c r="J39" s="41"/>
      <c r="K39" s="41"/>
      <c r="L39" s="41"/>
      <c r="M39" s="37"/>
    </row>
    <row r="40" spans="1:14" ht="14.1" customHeight="1" thickBot="1" x14ac:dyDescent="0.3">
      <c r="A40" s="30"/>
      <c r="B40" s="30"/>
      <c r="C40" s="42"/>
      <c r="D40" s="30"/>
      <c r="E40" s="30"/>
      <c r="F40" s="30"/>
      <c r="G40" s="184"/>
      <c r="H40" s="185"/>
      <c r="I40" s="185"/>
      <c r="J40" s="185"/>
      <c r="K40" s="185"/>
      <c r="L40" s="185"/>
      <c r="M40" s="186"/>
    </row>
    <row r="41" spans="1:14" ht="11.25" customHeight="1" thickBot="1" x14ac:dyDescent="0.3">
      <c r="A41" s="172" t="s">
        <v>24</v>
      </c>
      <c r="B41" s="173"/>
      <c r="C41" s="173"/>
      <c r="D41" s="173"/>
      <c r="E41" s="174"/>
      <c r="F41" s="30"/>
      <c r="G41" s="30"/>
      <c r="H41" s="30"/>
      <c r="I41" s="30"/>
      <c r="J41" s="30"/>
      <c r="K41" s="30"/>
      <c r="L41" s="30"/>
      <c r="M41" s="30"/>
    </row>
    <row r="42" spans="1:14" ht="16.5" customHeight="1" thickBot="1" x14ac:dyDescent="0.3">
      <c r="A42" s="164" t="s">
        <v>68</v>
      </c>
      <c r="B42" s="140" t="e" vm="2">
        <v>#VALUE!</v>
      </c>
      <c r="C42" s="166" t="str">
        <f>_xlfn.CONCAT("X ",IF(Modifiers!G3,Modifiers!G3,$E$8 + Modifiers!F3))</f>
        <v>X 1</v>
      </c>
      <c r="D42" s="175" t="s">
        <v>7</v>
      </c>
      <c r="E42" s="170">
        <f>A28</f>
        <v>0</v>
      </c>
      <c r="F42" s="30"/>
      <c r="G42" s="43" t="s">
        <v>17</v>
      </c>
      <c r="H42" s="30"/>
      <c r="I42" s="30"/>
      <c r="J42" s="30"/>
      <c r="K42" s="30"/>
      <c r="L42" s="30"/>
      <c r="M42" s="30"/>
    </row>
    <row r="43" spans="1:14" ht="14.1" customHeight="1" x14ac:dyDescent="0.25">
      <c r="A43" s="164"/>
      <c r="B43" s="140"/>
      <c r="C43" s="166"/>
      <c r="D43" s="168"/>
      <c r="E43" s="170"/>
      <c r="F43" s="30"/>
      <c r="G43" s="50"/>
      <c r="H43" s="51"/>
      <c r="I43" s="51"/>
      <c r="J43" s="51"/>
      <c r="K43" s="51"/>
      <c r="L43" s="51"/>
      <c r="M43" s="52"/>
    </row>
    <row r="44" spans="1:14" ht="14.1" customHeight="1" x14ac:dyDescent="0.25">
      <c r="A44" s="164" t="s">
        <v>28</v>
      </c>
      <c r="B44" s="140" t="e" vm="2">
        <v>#VALUE!</v>
      </c>
      <c r="C44" s="166" t="str">
        <f>_xlfn.CONCAT("X ",IF(Modifiers!G5,Modifiers!G5,$E$8 + Modifiers!F5))</f>
        <v>X 1</v>
      </c>
      <c r="D44" s="168" t="s">
        <v>7</v>
      </c>
      <c r="E44" s="170">
        <f>A30</f>
        <v>1</v>
      </c>
      <c r="F44" s="30"/>
      <c r="G44" s="38"/>
      <c r="H44" s="36"/>
      <c r="I44" s="36"/>
      <c r="J44" s="36"/>
      <c r="K44" s="36"/>
      <c r="L44" s="36"/>
      <c r="M44" s="53"/>
    </row>
    <row r="45" spans="1:14" ht="14.1" customHeight="1" x14ac:dyDescent="0.25">
      <c r="A45" s="164"/>
      <c r="B45" s="140"/>
      <c r="C45" s="166"/>
      <c r="D45" s="168"/>
      <c r="E45" s="170"/>
      <c r="F45" s="30"/>
      <c r="G45" s="38"/>
      <c r="H45" s="36"/>
      <c r="I45" s="36"/>
      <c r="J45" s="36"/>
      <c r="K45" s="36"/>
      <c r="L45" s="36"/>
      <c r="M45" s="53"/>
      <c r="N45" s="30"/>
    </row>
    <row r="46" spans="1:14" ht="14.1" customHeight="1" x14ac:dyDescent="0.25">
      <c r="A46" s="164" t="s">
        <v>5</v>
      </c>
      <c r="B46" s="140" t="e" vm="2">
        <v>#VALUE!</v>
      </c>
      <c r="C46" s="166" t="str">
        <f>_xlfn.CONCAT("X ",IF(Modifiers!G7,Modifiers!G7,$E$8 + Modifiers!F7))</f>
        <v>X 2</v>
      </c>
      <c r="D46" s="168" t="s">
        <v>7</v>
      </c>
      <c r="E46" s="170">
        <f>A36</f>
        <v>3</v>
      </c>
      <c r="F46" s="30"/>
      <c r="G46" s="38"/>
      <c r="H46" s="36"/>
      <c r="I46" s="36"/>
      <c r="J46" s="36"/>
      <c r="K46" s="36"/>
      <c r="L46" s="36"/>
      <c r="M46" s="53"/>
      <c r="N46" s="30"/>
    </row>
    <row r="47" spans="1:14" ht="14.1" customHeight="1" x14ac:dyDescent="0.25">
      <c r="A47" s="164"/>
      <c r="B47" s="140"/>
      <c r="C47" s="166"/>
      <c r="D47" s="168"/>
      <c r="E47" s="170"/>
      <c r="F47" s="30"/>
      <c r="G47" s="112"/>
      <c r="H47" s="113"/>
      <c r="I47" s="113"/>
      <c r="J47" s="113"/>
      <c r="K47" s="113"/>
      <c r="L47" s="113"/>
      <c r="M47" s="114"/>
    </row>
    <row r="48" spans="1:14" ht="14.1" customHeight="1" x14ac:dyDescent="0.25">
      <c r="A48" s="164" t="s">
        <v>33</v>
      </c>
      <c r="B48" s="140" t="e" vm="2">
        <v>#VALUE!</v>
      </c>
      <c r="C48" s="166" t="str">
        <f>_xlfn.CONCAT("X ",IF(Modifiers!G9,Modifiers!G9,$E$8 + Modifiers!F9))</f>
        <v>X 1</v>
      </c>
      <c r="D48" s="168" t="s">
        <v>7</v>
      </c>
      <c r="E48" s="170">
        <f>A38</f>
        <v>0</v>
      </c>
      <c r="F48" s="30"/>
      <c r="G48" s="112"/>
      <c r="H48" s="113"/>
      <c r="I48" s="113"/>
      <c r="J48" s="113"/>
      <c r="K48" s="113"/>
      <c r="L48" s="113"/>
      <c r="M48" s="114"/>
    </row>
    <row r="49" spans="1:13" ht="14.1" customHeight="1" thickBot="1" x14ac:dyDescent="0.3">
      <c r="A49" s="165"/>
      <c r="B49" s="162"/>
      <c r="C49" s="167"/>
      <c r="D49" s="169"/>
      <c r="E49" s="171"/>
      <c r="F49" s="30"/>
      <c r="G49" s="112"/>
      <c r="H49" s="113"/>
      <c r="I49" s="113"/>
      <c r="J49" s="113"/>
      <c r="K49" s="113"/>
      <c r="L49" s="113"/>
      <c r="M49" s="114"/>
    </row>
    <row r="50" spans="1:13" ht="14.1" customHeight="1" thickBot="1" x14ac:dyDescent="0.3">
      <c r="A50" s="30"/>
      <c r="B50" s="30"/>
      <c r="C50" s="30"/>
      <c r="D50" s="30"/>
      <c r="E50" s="30"/>
      <c r="F50" s="30"/>
      <c r="G50" s="46"/>
      <c r="H50" s="47"/>
      <c r="I50" s="41"/>
      <c r="J50" s="41"/>
      <c r="K50" s="41"/>
      <c r="L50" s="41"/>
      <c r="M50" s="37"/>
    </row>
    <row r="51" spans="1:13" ht="14.1" customHeight="1" x14ac:dyDescent="0.25">
      <c r="A51" s="73" t="s">
        <v>75</v>
      </c>
      <c r="B51" s="74"/>
      <c r="C51" s="74"/>
      <c r="D51" s="74"/>
      <c r="E51" s="75"/>
      <c r="F51" s="30"/>
      <c r="G51" s="46"/>
      <c r="H51" s="77"/>
      <c r="I51" s="41"/>
      <c r="J51" s="41"/>
      <c r="K51" s="41"/>
      <c r="L51" s="41"/>
      <c r="M51" s="37"/>
    </row>
    <row r="52" spans="1:13" ht="14.1" customHeight="1" x14ac:dyDescent="0.25">
      <c r="A52" s="100" t="s">
        <v>76</v>
      </c>
      <c r="B52" s="101"/>
      <c r="C52" s="101"/>
      <c r="D52" s="101"/>
      <c r="E52" s="102"/>
      <c r="F52" s="30"/>
      <c r="G52" s="46"/>
      <c r="H52" s="47"/>
      <c r="I52" s="41"/>
      <c r="J52" s="41"/>
      <c r="K52" s="41"/>
      <c r="L52" s="41"/>
      <c r="M52" s="37"/>
    </row>
    <row r="53" spans="1:13" ht="14.1" customHeight="1" thickBot="1" x14ac:dyDescent="0.3">
      <c r="A53" s="182"/>
      <c r="B53" s="183"/>
      <c r="C53" s="159" t="s">
        <v>40</v>
      </c>
      <c r="D53" s="160"/>
      <c r="E53" s="54" t="s">
        <v>57</v>
      </c>
      <c r="F53" s="30"/>
      <c r="G53" s="184"/>
      <c r="H53" s="185"/>
      <c r="I53" s="185"/>
      <c r="J53" s="185"/>
      <c r="K53" s="185"/>
      <c r="L53" s="185"/>
      <c r="M53" s="186"/>
    </row>
    <row r="54" spans="1:13" ht="14.1" customHeight="1" x14ac:dyDescent="0.25">
      <c r="F54" s="30"/>
    </row>
    <row r="55" spans="1:13" ht="15" customHeight="1" x14ac:dyDescent="0.25"/>
  </sheetData>
  <mergeCells count="108">
    <mergeCell ref="A52:E52"/>
    <mergeCell ref="G16:I16"/>
    <mergeCell ref="K2:M2"/>
    <mergeCell ref="G10:I10"/>
    <mergeCell ref="A53:B53"/>
    <mergeCell ref="C53:D53"/>
    <mergeCell ref="G40:M40"/>
    <mergeCell ref="B5:D5"/>
    <mergeCell ref="G47:M47"/>
    <mergeCell ref="G48:M48"/>
    <mergeCell ref="G49:M49"/>
    <mergeCell ref="G19:I19"/>
    <mergeCell ref="G17:I17"/>
    <mergeCell ref="G18:I18"/>
    <mergeCell ref="G20:I20"/>
    <mergeCell ref="G21:I21"/>
    <mergeCell ref="G53:M53"/>
    <mergeCell ref="K16:M16"/>
    <mergeCell ref="K17:M17"/>
    <mergeCell ref="K18:M18"/>
    <mergeCell ref="K19:M19"/>
    <mergeCell ref="K20:M20"/>
    <mergeCell ref="I27:M29"/>
    <mergeCell ref="K21:M21"/>
    <mergeCell ref="B46:B47"/>
    <mergeCell ref="B48:B49"/>
    <mergeCell ref="A21:E21"/>
    <mergeCell ref="A31:C31"/>
    <mergeCell ref="A48:A49"/>
    <mergeCell ref="C48:C49"/>
    <mergeCell ref="D48:D49"/>
    <mergeCell ref="E48:E49"/>
    <mergeCell ref="E46:E47"/>
    <mergeCell ref="D46:D47"/>
    <mergeCell ref="C46:C47"/>
    <mergeCell ref="A41:E41"/>
    <mergeCell ref="A46:A47"/>
    <mergeCell ref="C44:C45"/>
    <mergeCell ref="E44:E45"/>
    <mergeCell ref="D44:D45"/>
    <mergeCell ref="C42:C43"/>
    <mergeCell ref="D42:D43"/>
    <mergeCell ref="E42:E43"/>
    <mergeCell ref="A42:A43"/>
    <mergeCell ref="A44:A45"/>
    <mergeCell ref="A30:C30"/>
    <mergeCell ref="D28:E29"/>
    <mergeCell ref="D30:E31"/>
    <mergeCell ref="A7:D7"/>
    <mergeCell ref="A1:E4"/>
    <mergeCell ref="A38:C38"/>
    <mergeCell ref="A39:C39"/>
    <mergeCell ref="A37:C37"/>
    <mergeCell ref="A36:C36"/>
    <mergeCell ref="A35:C35"/>
    <mergeCell ref="A34:C34"/>
    <mergeCell ref="A33:C33"/>
    <mergeCell ref="A32:C32"/>
    <mergeCell ref="A26:C27"/>
    <mergeCell ref="D26:E27"/>
    <mergeCell ref="E18:E19"/>
    <mergeCell ref="D18:D19"/>
    <mergeCell ref="E14:E15"/>
    <mergeCell ref="D32:E33"/>
    <mergeCell ref="D34:E35"/>
    <mergeCell ref="D36:E37"/>
    <mergeCell ref="C12:D12"/>
    <mergeCell ref="C16:D16"/>
    <mergeCell ref="A12:B12"/>
    <mergeCell ref="A8:D8"/>
    <mergeCell ref="E10:E11"/>
    <mergeCell ref="A29:C29"/>
    <mergeCell ref="A23:E23"/>
    <mergeCell ref="A22:E22"/>
    <mergeCell ref="A28:C28"/>
    <mergeCell ref="A25:E25"/>
    <mergeCell ref="D38:E39"/>
    <mergeCell ref="A20:D20"/>
    <mergeCell ref="A16:B16"/>
    <mergeCell ref="B42:B43"/>
    <mergeCell ref="B44:B45"/>
    <mergeCell ref="A11:D11"/>
    <mergeCell ref="A15:D15"/>
    <mergeCell ref="A19:C19"/>
    <mergeCell ref="K12:M12"/>
    <mergeCell ref="K11:M11"/>
    <mergeCell ref="G11:I11"/>
    <mergeCell ref="G12:I12"/>
    <mergeCell ref="G13:I13"/>
    <mergeCell ref="G14:I14"/>
    <mergeCell ref="G15:I15"/>
    <mergeCell ref="K15:M15"/>
    <mergeCell ref="H1:I1"/>
    <mergeCell ref="H6:I6"/>
    <mergeCell ref="H7:I7"/>
    <mergeCell ref="H8:I8"/>
    <mergeCell ref="G4:G5"/>
    <mergeCell ref="H4:I5"/>
    <mergeCell ref="G2:G3"/>
    <mergeCell ref="K13:M13"/>
    <mergeCell ref="K14:M14"/>
    <mergeCell ref="K3:M3"/>
    <mergeCell ref="K6:M6"/>
    <mergeCell ref="K7:M7"/>
    <mergeCell ref="K8:M8"/>
    <mergeCell ref="K9:M9"/>
    <mergeCell ref="K10:M10"/>
    <mergeCell ref="H2:I3"/>
  </mergeCells>
  <phoneticPr fontId="4" type="noConversion"/>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F8B8-F644-45DE-A35A-1D709A5732D7}">
  <dimension ref="A1:I46"/>
  <sheetViews>
    <sheetView topLeftCell="A6" zoomScale="130" zoomScaleNormal="130" workbookViewId="0">
      <selection activeCell="L17" sqref="L17:T18"/>
    </sheetView>
  </sheetViews>
  <sheetFormatPr baseColWidth="10" defaultRowHeight="15" x14ac:dyDescent="0.25"/>
  <cols>
    <col min="1" max="9" width="10" customWidth="1"/>
  </cols>
  <sheetData>
    <row r="1" spans="1:9" ht="15.75" thickBot="1" x14ac:dyDescent="0.3">
      <c r="A1" s="233" t="s">
        <v>45</v>
      </c>
      <c r="B1" s="234"/>
      <c r="C1" s="234"/>
      <c r="D1" s="234"/>
      <c r="E1" s="238"/>
      <c r="F1" s="238"/>
    </row>
    <row r="2" spans="1:9" ht="15" customHeight="1" x14ac:dyDescent="0.25">
      <c r="A2" s="235"/>
      <c r="B2" s="236"/>
      <c r="C2" s="236"/>
      <c r="D2" s="236"/>
      <c r="E2" s="236"/>
      <c r="F2" s="236"/>
      <c r="G2" s="236"/>
      <c r="H2" s="236"/>
      <c r="I2" s="237"/>
    </row>
    <row r="3" spans="1:9" ht="15" customHeight="1" x14ac:dyDescent="0.25">
      <c r="A3" s="212"/>
      <c r="B3" s="213"/>
      <c r="C3" s="213"/>
      <c r="D3" s="213"/>
      <c r="E3" s="213"/>
      <c r="F3" s="213"/>
      <c r="G3" s="213"/>
      <c r="H3" s="213"/>
      <c r="I3" s="214"/>
    </row>
    <row r="4" spans="1:9" x14ac:dyDescent="0.25">
      <c r="A4" s="218"/>
      <c r="B4" s="219"/>
      <c r="C4" s="219"/>
      <c r="D4" s="219"/>
      <c r="E4" s="219"/>
      <c r="F4" s="219"/>
      <c r="G4" s="219"/>
      <c r="H4" s="219"/>
      <c r="I4" s="220"/>
    </row>
    <row r="5" spans="1:9" ht="15" customHeight="1" x14ac:dyDescent="0.25">
      <c r="A5" s="218"/>
      <c r="B5" s="219"/>
      <c r="C5" s="219"/>
      <c r="D5" s="219"/>
      <c r="E5" s="219"/>
      <c r="F5" s="219"/>
      <c r="G5" s="219"/>
      <c r="H5" s="219"/>
      <c r="I5" s="220"/>
    </row>
    <row r="6" spans="1:9" x14ac:dyDescent="0.25">
      <c r="A6" s="218"/>
      <c r="B6" s="219"/>
      <c r="C6" s="219"/>
      <c r="D6" s="219"/>
      <c r="E6" s="219"/>
      <c r="F6" s="219"/>
      <c r="G6" s="219"/>
      <c r="H6" s="219"/>
      <c r="I6" s="220"/>
    </row>
    <row r="7" spans="1:9" ht="15" customHeight="1" thickBot="1" x14ac:dyDescent="0.3">
      <c r="A7" s="221"/>
      <c r="B7" s="222"/>
      <c r="C7" s="222"/>
      <c r="D7" s="222"/>
      <c r="E7" s="222"/>
      <c r="F7" s="222"/>
      <c r="G7" s="222"/>
      <c r="H7" s="222"/>
      <c r="I7" s="223"/>
    </row>
    <row r="8" spans="1:9" ht="15" customHeight="1" x14ac:dyDescent="0.25">
      <c r="A8" s="59" t="s">
        <v>50</v>
      </c>
      <c r="B8" s="56"/>
      <c r="C8" s="56"/>
      <c r="D8" s="56"/>
      <c r="E8" s="56"/>
      <c r="F8" s="56"/>
      <c r="G8" s="56"/>
      <c r="H8" s="56"/>
      <c r="I8" s="57"/>
    </row>
    <row r="9" spans="1:9" ht="15" customHeight="1" x14ac:dyDescent="0.25">
      <c r="A9" s="58" t="s">
        <v>54</v>
      </c>
      <c r="B9" s="81"/>
      <c r="C9" s="81"/>
      <c r="D9" s="81"/>
      <c r="E9" s="81"/>
      <c r="F9" s="81"/>
      <c r="G9" s="81"/>
      <c r="H9" s="81"/>
      <c r="I9" s="64"/>
    </row>
    <row r="10" spans="1:9" ht="15" customHeight="1" x14ac:dyDescent="0.25">
      <c r="A10" s="67"/>
      <c r="B10" s="65"/>
      <c r="C10" s="65"/>
      <c r="D10" s="65"/>
      <c r="E10" s="65"/>
      <c r="F10" s="65"/>
      <c r="G10" s="65"/>
      <c r="H10" s="65"/>
      <c r="I10" s="66"/>
    </row>
    <row r="11" spans="1:9" x14ac:dyDescent="0.25">
      <c r="A11" s="215" t="s">
        <v>51</v>
      </c>
      <c r="B11" s="216"/>
      <c r="C11" s="216"/>
      <c r="D11" s="216"/>
      <c r="E11" s="216"/>
      <c r="F11" s="216"/>
      <c r="G11" s="216"/>
      <c r="H11" s="216"/>
      <c r="I11" s="217"/>
    </row>
    <row r="12" spans="1:9" ht="15" customHeight="1" x14ac:dyDescent="0.25">
      <c r="A12" s="230" t="s">
        <v>70</v>
      </c>
      <c r="B12" s="231"/>
      <c r="C12" s="231"/>
      <c r="D12" s="231"/>
      <c r="E12" s="231"/>
      <c r="F12" s="231"/>
      <c r="G12" s="231"/>
      <c r="H12" s="231"/>
      <c r="I12" s="232"/>
    </row>
    <row r="13" spans="1:9" ht="15" customHeight="1" x14ac:dyDescent="0.25">
      <c r="A13" s="227" t="s">
        <v>84</v>
      </c>
      <c r="B13" s="228"/>
      <c r="C13" s="228"/>
      <c r="D13" s="228"/>
      <c r="E13" s="228"/>
      <c r="F13" s="228"/>
      <c r="G13" s="228"/>
      <c r="H13" s="228"/>
      <c r="I13" s="229"/>
    </row>
    <row r="14" spans="1:9" ht="15" customHeight="1" x14ac:dyDescent="0.25">
      <c r="A14" s="230" t="s">
        <v>58</v>
      </c>
      <c r="B14" s="231"/>
      <c r="C14" s="231"/>
      <c r="D14" s="231"/>
      <c r="E14" s="231"/>
      <c r="F14" s="231"/>
      <c r="G14" s="231"/>
      <c r="H14" s="231"/>
      <c r="I14" s="232"/>
    </row>
    <row r="15" spans="1:9" ht="15" customHeight="1" x14ac:dyDescent="0.25">
      <c r="A15" s="215" t="s">
        <v>49</v>
      </c>
      <c r="B15" s="216"/>
      <c r="C15" s="216"/>
      <c r="D15" s="216"/>
      <c r="E15" s="216"/>
      <c r="F15" s="216"/>
      <c r="G15" s="216"/>
      <c r="H15" s="216"/>
      <c r="I15" s="217"/>
    </row>
    <row r="16" spans="1:9" ht="15" customHeight="1" x14ac:dyDescent="0.25">
      <c r="A16" s="206" t="s">
        <v>79</v>
      </c>
      <c r="B16" s="207"/>
      <c r="C16" s="207"/>
      <c r="D16" s="207"/>
      <c r="E16" s="207"/>
      <c r="F16" s="207"/>
      <c r="G16" s="207"/>
      <c r="H16" s="207"/>
      <c r="I16" s="208"/>
    </row>
    <row r="17" spans="1:9" ht="15" customHeight="1" x14ac:dyDescent="0.25">
      <c r="A17" s="209"/>
      <c r="B17" s="210"/>
      <c r="C17" s="210"/>
      <c r="D17" s="210"/>
      <c r="E17" s="210"/>
      <c r="F17" s="210"/>
      <c r="G17" s="210"/>
      <c r="H17" s="210"/>
      <c r="I17" s="211"/>
    </row>
    <row r="18" spans="1:9" x14ac:dyDescent="0.25">
      <c r="A18" s="79" t="s">
        <v>59</v>
      </c>
      <c r="B18" s="80"/>
      <c r="C18" s="80"/>
      <c r="D18" s="80"/>
      <c r="E18" s="82"/>
      <c r="F18" s="80"/>
      <c r="G18" s="80"/>
      <c r="H18" s="80"/>
      <c r="I18" s="78"/>
    </row>
    <row r="19" spans="1:9" ht="15" customHeight="1" x14ac:dyDescent="0.25">
      <c r="A19" s="224" t="s">
        <v>80</v>
      </c>
      <c r="B19" s="225"/>
      <c r="C19" s="225"/>
      <c r="D19" s="225"/>
      <c r="E19" s="225"/>
      <c r="F19" s="225"/>
      <c r="G19" s="225"/>
      <c r="H19" s="225"/>
      <c r="I19" s="226"/>
    </row>
    <row r="20" spans="1:9" ht="15" customHeight="1" x14ac:dyDescent="0.25">
      <c r="A20" s="224"/>
      <c r="B20" s="225"/>
      <c r="C20" s="225"/>
      <c r="D20" s="225"/>
      <c r="E20" s="225"/>
      <c r="F20" s="225"/>
      <c r="G20" s="225"/>
      <c r="H20" s="225"/>
      <c r="I20" s="226"/>
    </row>
    <row r="21" spans="1:9" ht="15" customHeight="1" x14ac:dyDescent="0.25">
      <c r="A21" s="212"/>
      <c r="B21" s="213"/>
      <c r="C21" s="213"/>
      <c r="D21" s="213"/>
      <c r="E21" s="213"/>
      <c r="F21" s="213"/>
      <c r="G21" s="213"/>
      <c r="H21" s="213"/>
      <c r="I21" s="214"/>
    </row>
    <row r="22" spans="1:9" ht="15" customHeight="1" x14ac:dyDescent="0.25">
      <c r="A22" s="212"/>
      <c r="B22" s="213"/>
      <c r="C22" s="213"/>
      <c r="D22" s="213"/>
      <c r="E22" s="213"/>
      <c r="F22" s="213"/>
      <c r="G22" s="213"/>
      <c r="H22" s="213"/>
      <c r="I22" s="214"/>
    </row>
    <row r="23" spans="1:9" x14ac:dyDescent="0.25">
      <c r="A23" s="212"/>
      <c r="B23" s="213"/>
      <c r="C23" s="213"/>
      <c r="D23" s="213"/>
      <c r="E23" s="213"/>
      <c r="F23" s="213"/>
      <c r="G23" s="213"/>
      <c r="H23" s="213"/>
      <c r="I23" s="214"/>
    </row>
    <row r="24" spans="1:9" x14ac:dyDescent="0.25">
      <c r="A24" s="212"/>
      <c r="B24" s="213"/>
      <c r="C24" s="213"/>
      <c r="D24" s="213"/>
      <c r="E24" s="213"/>
      <c r="F24" s="213"/>
      <c r="G24" s="213"/>
      <c r="H24" s="213"/>
      <c r="I24" s="214"/>
    </row>
    <row r="25" spans="1:9" x14ac:dyDescent="0.25">
      <c r="A25" s="212"/>
      <c r="B25" s="213"/>
      <c r="C25" s="213"/>
      <c r="D25" s="213"/>
      <c r="E25" s="213"/>
      <c r="F25" s="213"/>
      <c r="G25" s="213"/>
      <c r="H25" s="213"/>
      <c r="I25" s="214"/>
    </row>
    <row r="26" spans="1:9" ht="15" customHeight="1" x14ac:dyDescent="0.25">
      <c r="A26" s="212"/>
      <c r="B26" s="213"/>
      <c r="C26" s="213"/>
      <c r="D26" s="213"/>
      <c r="E26" s="213"/>
      <c r="F26" s="213"/>
      <c r="G26" s="213"/>
      <c r="H26" s="213"/>
      <c r="I26" s="214"/>
    </row>
    <row r="27" spans="1:9" x14ac:dyDescent="0.25">
      <c r="A27" s="212"/>
      <c r="B27" s="213"/>
      <c r="C27" s="213"/>
      <c r="D27" s="213"/>
      <c r="E27" s="213"/>
      <c r="F27" s="213"/>
      <c r="G27" s="213"/>
      <c r="H27" s="213"/>
      <c r="I27" s="214"/>
    </row>
    <row r="28" spans="1:9" ht="15" customHeight="1" x14ac:dyDescent="0.25">
      <c r="A28" s="212"/>
      <c r="B28" s="213"/>
      <c r="C28" s="213"/>
      <c r="D28" s="213"/>
      <c r="E28" s="213"/>
      <c r="F28" s="213"/>
      <c r="G28" s="213"/>
      <c r="H28" s="213"/>
      <c r="I28" s="214"/>
    </row>
    <row r="29" spans="1:9" ht="15" customHeight="1" x14ac:dyDescent="0.25">
      <c r="A29" s="212"/>
      <c r="B29" s="213"/>
      <c r="C29" s="213"/>
      <c r="D29" s="213"/>
      <c r="E29" s="213"/>
      <c r="F29" s="213"/>
      <c r="G29" s="213"/>
      <c r="H29" s="213"/>
      <c r="I29" s="214"/>
    </row>
    <row r="30" spans="1:9" x14ac:dyDescent="0.25">
      <c r="A30" s="212"/>
      <c r="B30" s="213"/>
      <c r="C30" s="213"/>
      <c r="D30" s="213"/>
      <c r="E30" s="213"/>
      <c r="F30" s="213"/>
      <c r="G30" s="213"/>
      <c r="H30" s="213"/>
      <c r="I30" s="214"/>
    </row>
    <row r="31" spans="1:9" x14ac:dyDescent="0.25">
      <c r="A31" s="212"/>
      <c r="B31" s="213"/>
      <c r="C31" s="213"/>
      <c r="D31" s="213"/>
      <c r="E31" s="213"/>
      <c r="F31" s="213"/>
      <c r="G31" s="213"/>
      <c r="H31" s="213"/>
      <c r="I31" s="214"/>
    </row>
    <row r="32" spans="1:9" x14ac:dyDescent="0.25">
      <c r="A32" s="212"/>
      <c r="B32" s="213"/>
      <c r="C32" s="213"/>
      <c r="D32" s="213"/>
      <c r="E32" s="213"/>
      <c r="F32" s="213"/>
      <c r="G32" s="213"/>
      <c r="H32" s="213"/>
      <c r="I32" s="214"/>
    </row>
    <row r="33" spans="1:9" x14ac:dyDescent="0.25">
      <c r="A33" s="212"/>
      <c r="B33" s="213"/>
      <c r="C33" s="213"/>
      <c r="D33" s="213"/>
      <c r="E33" s="213"/>
      <c r="F33" s="213"/>
      <c r="G33" s="213"/>
      <c r="H33" s="213"/>
      <c r="I33" s="214"/>
    </row>
    <row r="34" spans="1:9" x14ac:dyDescent="0.25">
      <c r="A34" s="212"/>
      <c r="B34" s="213"/>
      <c r="C34" s="213"/>
      <c r="D34" s="213"/>
      <c r="E34" s="213"/>
      <c r="F34" s="213"/>
      <c r="G34" s="213"/>
      <c r="H34" s="213"/>
      <c r="I34" s="214"/>
    </row>
    <row r="35" spans="1:9" x14ac:dyDescent="0.25">
      <c r="A35" s="212"/>
      <c r="B35" s="213"/>
      <c r="C35" s="213"/>
      <c r="D35" s="213"/>
      <c r="E35" s="213"/>
      <c r="F35" s="213"/>
      <c r="G35" s="213"/>
      <c r="H35" s="213"/>
      <c r="I35" s="214"/>
    </row>
    <row r="36" spans="1:9" x14ac:dyDescent="0.25">
      <c r="A36" s="212"/>
      <c r="B36" s="213"/>
      <c r="C36" s="213"/>
      <c r="D36" s="213"/>
      <c r="E36" s="213"/>
      <c r="F36" s="213"/>
      <c r="G36" s="213"/>
      <c r="H36" s="213"/>
      <c r="I36" s="214"/>
    </row>
    <row r="37" spans="1:9" x14ac:dyDescent="0.25">
      <c r="A37" s="212"/>
      <c r="B37" s="213"/>
      <c r="C37" s="213"/>
      <c r="D37" s="213"/>
      <c r="E37" s="213"/>
      <c r="F37" s="213"/>
      <c r="G37" s="213"/>
      <c r="H37" s="213"/>
      <c r="I37" s="214"/>
    </row>
    <row r="38" spans="1:9" x14ac:dyDescent="0.25">
      <c r="A38" s="212"/>
      <c r="B38" s="213"/>
      <c r="C38" s="213"/>
      <c r="D38" s="213"/>
      <c r="E38" s="213"/>
      <c r="F38" s="213"/>
      <c r="G38" s="213"/>
      <c r="H38" s="213"/>
      <c r="I38" s="214"/>
    </row>
    <row r="39" spans="1:9" x14ac:dyDescent="0.25">
      <c r="A39" s="212"/>
      <c r="B39" s="213"/>
      <c r="C39" s="213"/>
      <c r="D39" s="213"/>
      <c r="E39" s="213"/>
      <c r="F39" s="213"/>
      <c r="G39" s="213"/>
      <c r="H39" s="213"/>
      <c r="I39" s="214"/>
    </row>
    <row r="40" spans="1:9" x14ac:dyDescent="0.25">
      <c r="A40" s="212"/>
      <c r="B40" s="213"/>
      <c r="C40" s="213"/>
      <c r="D40" s="213"/>
      <c r="E40" s="213"/>
      <c r="F40" s="213"/>
      <c r="G40" s="213"/>
      <c r="H40" s="213"/>
      <c r="I40" s="214"/>
    </row>
    <row r="41" spans="1:9" x14ac:dyDescent="0.25">
      <c r="A41" s="212"/>
      <c r="B41" s="213"/>
      <c r="C41" s="213"/>
      <c r="D41" s="213"/>
      <c r="E41" s="213"/>
      <c r="F41" s="213"/>
      <c r="G41" s="213"/>
      <c r="H41" s="213"/>
      <c r="I41" s="214"/>
    </row>
    <row r="42" spans="1:9" x14ac:dyDescent="0.25">
      <c r="A42" s="212"/>
      <c r="B42" s="213"/>
      <c r="C42" s="213"/>
      <c r="D42" s="213"/>
      <c r="E42" s="213"/>
      <c r="F42" s="213"/>
      <c r="G42" s="213"/>
      <c r="H42" s="213"/>
      <c r="I42" s="214"/>
    </row>
    <row r="43" spans="1:9" x14ac:dyDescent="0.25">
      <c r="A43" s="212"/>
      <c r="B43" s="213"/>
      <c r="C43" s="213"/>
      <c r="D43" s="213"/>
      <c r="E43" s="213"/>
      <c r="F43" s="213"/>
      <c r="G43" s="213"/>
      <c r="H43" s="213"/>
      <c r="I43" s="214"/>
    </row>
    <row r="44" spans="1:9" x14ac:dyDescent="0.25">
      <c r="A44" s="212"/>
      <c r="B44" s="213"/>
      <c r="C44" s="213"/>
      <c r="D44" s="213"/>
      <c r="E44" s="213"/>
      <c r="F44" s="213"/>
      <c r="G44" s="213"/>
      <c r="H44" s="213"/>
      <c r="I44" s="214"/>
    </row>
    <row r="45" spans="1:9" x14ac:dyDescent="0.25">
      <c r="A45" s="212"/>
      <c r="B45" s="213"/>
      <c r="C45" s="213"/>
      <c r="D45" s="213"/>
      <c r="E45" s="213"/>
      <c r="F45" s="213"/>
      <c r="G45" s="213"/>
      <c r="H45" s="213"/>
      <c r="I45" s="214"/>
    </row>
    <row r="46" spans="1:9" ht="15.75" thickBot="1" x14ac:dyDescent="0.3">
      <c r="A46" s="203"/>
      <c r="B46" s="204"/>
      <c r="C46" s="204"/>
      <c r="D46" s="204"/>
      <c r="E46" s="204"/>
      <c r="F46" s="204"/>
      <c r="G46" s="204"/>
      <c r="H46" s="204"/>
      <c r="I46" s="205"/>
    </row>
  </sheetData>
  <mergeCells count="41">
    <mergeCell ref="A34:I34"/>
    <mergeCell ref="A30:I30"/>
    <mergeCell ref="A26:I26"/>
    <mergeCell ref="A27:I27"/>
    <mergeCell ref="A29:I29"/>
    <mergeCell ref="A28:I28"/>
    <mergeCell ref="A33:I33"/>
    <mergeCell ref="A1:D1"/>
    <mergeCell ref="A4:I4"/>
    <mergeCell ref="A2:I2"/>
    <mergeCell ref="A3:I3"/>
    <mergeCell ref="A6:I6"/>
    <mergeCell ref="E1:F1"/>
    <mergeCell ref="A15:I15"/>
    <mergeCell ref="A24:I24"/>
    <mergeCell ref="A5:I5"/>
    <mergeCell ref="A7:I7"/>
    <mergeCell ref="A22:I22"/>
    <mergeCell ref="A23:I23"/>
    <mergeCell ref="A19:I20"/>
    <mergeCell ref="A21:I21"/>
    <mergeCell ref="A13:I13"/>
    <mergeCell ref="A14:I14"/>
    <mergeCell ref="A11:I11"/>
    <mergeCell ref="A12:I12"/>
    <mergeCell ref="A46:I46"/>
    <mergeCell ref="A16:I17"/>
    <mergeCell ref="A41:I41"/>
    <mergeCell ref="A42:I42"/>
    <mergeCell ref="A43:I43"/>
    <mergeCell ref="A44:I44"/>
    <mergeCell ref="A45:I45"/>
    <mergeCell ref="A36:I36"/>
    <mergeCell ref="A37:I37"/>
    <mergeCell ref="A38:I38"/>
    <mergeCell ref="A39:I39"/>
    <mergeCell ref="A40:I40"/>
    <mergeCell ref="A25:I25"/>
    <mergeCell ref="A31:I31"/>
    <mergeCell ref="A32:I32"/>
    <mergeCell ref="A35:I35"/>
  </mergeCells>
  <pageMargins left="0.25" right="0.25"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52ED7-B55C-4544-B1B9-4049608F227A}">
  <dimension ref="A1:I34"/>
  <sheetViews>
    <sheetView topLeftCell="A12" zoomScale="130" zoomScaleNormal="130" workbookViewId="0">
      <selection activeCell="A19" sqref="A19:I19"/>
    </sheetView>
  </sheetViews>
  <sheetFormatPr baseColWidth="10" defaultRowHeight="15" x14ac:dyDescent="0.25"/>
  <cols>
    <col min="1" max="9" width="10" customWidth="1"/>
  </cols>
  <sheetData>
    <row r="1" spans="1:9" ht="16.5" thickBot="1" x14ac:dyDescent="0.3">
      <c r="A1" s="239" t="s">
        <v>55</v>
      </c>
      <c r="B1" s="240"/>
      <c r="C1" s="240"/>
      <c r="D1" s="241"/>
      <c r="E1" s="245" t="s">
        <v>78</v>
      </c>
      <c r="F1" s="246"/>
    </row>
    <row r="2" spans="1:9" x14ac:dyDescent="0.25">
      <c r="A2" s="235" t="s">
        <v>42</v>
      </c>
      <c r="B2" s="236"/>
      <c r="C2" s="236"/>
      <c r="D2" s="236"/>
      <c r="E2" s="236"/>
      <c r="F2" s="236"/>
      <c r="G2" s="236"/>
      <c r="H2" s="236"/>
      <c r="I2" s="237"/>
    </row>
    <row r="3" spans="1:9" x14ac:dyDescent="0.25">
      <c r="A3" s="242" t="s">
        <v>43</v>
      </c>
      <c r="B3" s="243"/>
      <c r="C3" s="243"/>
      <c r="D3" s="243"/>
      <c r="E3" s="243"/>
      <c r="F3" s="243"/>
      <c r="G3" s="243"/>
      <c r="H3" s="243"/>
      <c r="I3" s="244"/>
    </row>
    <row r="4" spans="1:9" x14ac:dyDescent="0.25">
      <c r="A4" s="215" t="s">
        <v>18</v>
      </c>
      <c r="B4" s="216"/>
      <c r="C4" s="216"/>
      <c r="D4" s="216"/>
      <c r="E4" s="216"/>
      <c r="F4" s="216"/>
      <c r="G4" s="216"/>
      <c r="H4" s="216"/>
      <c r="I4" s="217"/>
    </row>
    <row r="5" spans="1:9" x14ac:dyDescent="0.25">
      <c r="A5" s="60" t="s">
        <v>85</v>
      </c>
      <c r="B5" s="68"/>
      <c r="C5" s="68"/>
      <c r="D5" s="68"/>
      <c r="E5" s="68"/>
      <c r="F5" s="68"/>
      <c r="G5" s="68"/>
      <c r="H5" s="68"/>
      <c r="I5" s="61"/>
    </row>
    <row r="6" spans="1:9" ht="15" customHeight="1" thickBot="1" x14ac:dyDescent="0.3">
      <c r="A6" s="69" t="s">
        <v>86</v>
      </c>
      <c r="B6" s="70"/>
      <c r="C6" s="70"/>
      <c r="D6" s="70"/>
      <c r="E6" s="70"/>
      <c r="F6" s="70"/>
      <c r="G6" s="70"/>
      <c r="H6" s="70"/>
      <c r="I6" s="71"/>
    </row>
    <row r="7" spans="1:9" ht="15" customHeight="1" x14ac:dyDescent="0.25">
      <c r="A7" s="250" t="s">
        <v>53</v>
      </c>
      <c r="B7" s="251"/>
      <c r="C7" s="251"/>
      <c r="D7" s="251"/>
      <c r="E7" s="251"/>
      <c r="F7" s="251"/>
      <c r="G7" s="251"/>
      <c r="H7" s="251"/>
      <c r="I7" s="252"/>
    </row>
    <row r="8" spans="1:9" x14ac:dyDescent="0.25">
      <c r="A8" s="230" t="s">
        <v>52</v>
      </c>
      <c r="B8" s="231"/>
      <c r="C8" s="231"/>
      <c r="D8" s="231"/>
      <c r="E8" s="231"/>
      <c r="F8" s="231"/>
      <c r="G8" s="231"/>
      <c r="H8" s="231"/>
      <c r="I8" s="232"/>
    </row>
    <row r="9" spans="1:9" x14ac:dyDescent="0.25">
      <c r="A9" s="215" t="s">
        <v>87</v>
      </c>
      <c r="B9" s="216"/>
      <c r="C9" s="216"/>
      <c r="D9" s="216"/>
      <c r="E9" s="216"/>
      <c r="F9" s="216"/>
      <c r="G9" s="216"/>
      <c r="H9" s="216"/>
      <c r="I9" s="217"/>
    </row>
    <row r="10" spans="1:9" ht="15" customHeight="1" x14ac:dyDescent="0.25">
      <c r="A10" s="256" t="s">
        <v>88</v>
      </c>
      <c r="B10" s="257"/>
      <c r="C10" s="257"/>
      <c r="D10" s="257"/>
      <c r="E10" s="257"/>
      <c r="F10" s="257"/>
      <c r="G10" s="257"/>
      <c r="H10" s="257"/>
      <c r="I10" s="258"/>
    </row>
    <row r="11" spans="1:9" ht="15" customHeight="1" x14ac:dyDescent="0.25">
      <c r="A11" s="256"/>
      <c r="B11" s="257"/>
      <c r="C11" s="257"/>
      <c r="D11" s="257"/>
      <c r="E11" s="257"/>
      <c r="F11" s="257"/>
      <c r="G11" s="257"/>
      <c r="H11" s="257"/>
      <c r="I11" s="258"/>
    </row>
    <row r="12" spans="1:9" ht="15" customHeight="1" x14ac:dyDescent="0.25">
      <c r="A12" s="247" t="s">
        <v>64</v>
      </c>
      <c r="B12" s="248"/>
      <c r="C12" s="248"/>
      <c r="D12" s="248"/>
      <c r="E12" s="248"/>
      <c r="F12" s="248"/>
      <c r="G12" s="248"/>
      <c r="H12" s="248"/>
      <c r="I12" s="249"/>
    </row>
    <row r="13" spans="1:9" ht="15" customHeight="1" x14ac:dyDescent="0.25">
      <c r="A13" s="224" t="s">
        <v>65</v>
      </c>
      <c r="B13" s="225"/>
      <c r="C13" s="225"/>
      <c r="D13" s="225"/>
      <c r="E13" s="225"/>
      <c r="F13" s="225"/>
      <c r="G13" s="225"/>
      <c r="H13" s="225"/>
      <c r="I13" s="226"/>
    </row>
    <row r="14" spans="1:9" ht="15" customHeight="1" thickBot="1" x14ac:dyDescent="0.3">
      <c r="A14" s="253"/>
      <c r="B14" s="254"/>
      <c r="C14" s="254"/>
      <c r="D14" s="254"/>
      <c r="E14" s="254"/>
      <c r="F14" s="254"/>
      <c r="G14" s="254"/>
      <c r="H14" s="254"/>
      <c r="I14" s="255"/>
    </row>
    <row r="15" spans="1:9" ht="15" customHeight="1" thickBot="1" x14ac:dyDescent="0.3"/>
    <row r="16" spans="1:9" ht="15" customHeight="1" thickBot="1" x14ac:dyDescent="0.3">
      <c r="A16" s="239" t="s">
        <v>56</v>
      </c>
      <c r="B16" s="240"/>
      <c r="C16" s="240"/>
      <c r="D16" s="241"/>
      <c r="E16" s="245" t="s">
        <v>78</v>
      </c>
      <c r="F16" s="246"/>
    </row>
    <row r="17" spans="1:9" x14ac:dyDescent="0.25">
      <c r="A17" s="235" t="s">
        <v>42</v>
      </c>
      <c r="B17" s="236"/>
      <c r="C17" s="236"/>
      <c r="D17" s="236"/>
      <c r="E17" s="236"/>
      <c r="F17" s="236"/>
      <c r="G17" s="236"/>
      <c r="H17" s="236"/>
      <c r="I17" s="237"/>
    </row>
    <row r="18" spans="1:9" x14ac:dyDescent="0.25">
      <c r="A18" s="242" t="s">
        <v>92</v>
      </c>
      <c r="B18" s="243"/>
      <c r="C18" s="243"/>
      <c r="D18" s="243"/>
      <c r="E18" s="243"/>
      <c r="F18" s="243"/>
      <c r="G18" s="243"/>
      <c r="H18" s="243"/>
      <c r="I18" s="244"/>
    </row>
    <row r="19" spans="1:9" x14ac:dyDescent="0.25">
      <c r="A19" s="250" t="s">
        <v>18</v>
      </c>
      <c r="B19" s="251"/>
      <c r="C19" s="251"/>
      <c r="D19" s="251"/>
      <c r="E19" s="251"/>
      <c r="F19" s="251"/>
      <c r="G19" s="251"/>
      <c r="H19" s="251"/>
      <c r="I19" s="252"/>
    </row>
    <row r="20" spans="1:9" ht="15.75" thickBot="1" x14ac:dyDescent="0.3">
      <c r="A20" s="60" t="s">
        <v>66</v>
      </c>
      <c r="B20" s="68"/>
      <c r="C20" s="68"/>
      <c r="D20" s="68"/>
      <c r="E20" s="68"/>
      <c r="F20" s="68"/>
      <c r="G20" s="68"/>
      <c r="H20" s="68"/>
      <c r="I20" s="61"/>
    </row>
    <row r="21" spans="1:9" x14ac:dyDescent="0.25">
      <c r="A21" s="63" t="s">
        <v>82</v>
      </c>
      <c r="B21" s="56"/>
      <c r="C21" s="56"/>
      <c r="D21" s="56"/>
      <c r="E21" s="62"/>
      <c r="F21" s="56"/>
      <c r="G21" s="56"/>
      <c r="H21" s="56"/>
      <c r="I21" s="57"/>
    </row>
    <row r="22" spans="1:9" x14ac:dyDescent="0.25">
      <c r="A22" s="256" t="s">
        <v>81</v>
      </c>
      <c r="B22" s="257"/>
      <c r="C22" s="257"/>
      <c r="D22" s="257"/>
      <c r="E22" s="257"/>
      <c r="F22" s="257"/>
      <c r="G22" s="257"/>
      <c r="H22" s="257"/>
      <c r="I22" s="258"/>
    </row>
    <row r="23" spans="1:9" ht="15" customHeight="1" x14ac:dyDescent="0.25">
      <c r="A23" s="256"/>
      <c r="B23" s="257"/>
      <c r="C23" s="257"/>
      <c r="D23" s="257"/>
      <c r="E23" s="257"/>
      <c r="F23" s="257"/>
      <c r="G23" s="257"/>
      <c r="H23" s="257"/>
      <c r="I23" s="258"/>
    </row>
    <row r="24" spans="1:9" ht="15" customHeight="1" x14ac:dyDescent="0.25">
      <c r="A24" s="256"/>
      <c r="B24" s="257"/>
      <c r="C24" s="257"/>
      <c r="D24" s="257"/>
      <c r="E24" s="257"/>
      <c r="F24" s="257"/>
      <c r="G24" s="257"/>
      <c r="H24" s="257"/>
      <c r="I24" s="258"/>
    </row>
    <row r="25" spans="1:9" x14ac:dyDescent="0.25">
      <c r="A25" s="247" t="s">
        <v>90</v>
      </c>
      <c r="B25" s="248"/>
      <c r="C25" s="248"/>
      <c r="D25" s="248"/>
      <c r="E25" s="248"/>
      <c r="F25" s="248"/>
      <c r="G25" s="248"/>
      <c r="H25" s="248"/>
      <c r="I25" s="249"/>
    </row>
    <row r="26" spans="1:9" x14ac:dyDescent="0.25">
      <c r="A26" s="224" t="s">
        <v>91</v>
      </c>
      <c r="B26" s="225"/>
      <c r="C26" s="225"/>
      <c r="D26" s="225"/>
      <c r="E26" s="225"/>
      <c r="F26" s="225"/>
      <c r="G26" s="225"/>
      <c r="H26" s="225"/>
      <c r="I26" s="226"/>
    </row>
    <row r="27" spans="1:9" ht="15" customHeight="1" x14ac:dyDescent="0.25">
      <c r="A27" s="224"/>
      <c r="B27" s="225"/>
      <c r="C27" s="225"/>
      <c r="D27" s="225"/>
      <c r="E27" s="225"/>
      <c r="F27" s="225"/>
      <c r="G27" s="225"/>
      <c r="H27" s="225"/>
      <c r="I27" s="226"/>
    </row>
    <row r="28" spans="1:9" ht="15" customHeight="1" x14ac:dyDescent="0.25">
      <c r="A28" s="224"/>
      <c r="B28" s="225"/>
      <c r="C28" s="225"/>
      <c r="D28" s="225"/>
      <c r="E28" s="225"/>
      <c r="F28" s="225"/>
      <c r="G28" s="225"/>
      <c r="H28" s="225"/>
      <c r="I28" s="226"/>
    </row>
    <row r="29" spans="1:9" ht="15" customHeight="1" x14ac:dyDescent="0.25">
      <c r="A29" s="224"/>
      <c r="B29" s="225"/>
      <c r="C29" s="225"/>
      <c r="D29" s="225"/>
      <c r="E29" s="225"/>
      <c r="F29" s="225"/>
      <c r="G29" s="225"/>
      <c r="H29" s="225"/>
      <c r="I29" s="226"/>
    </row>
    <row r="30" spans="1:9" x14ac:dyDescent="0.25">
      <c r="A30" s="224"/>
      <c r="B30" s="225"/>
      <c r="C30" s="225"/>
      <c r="D30" s="225"/>
      <c r="E30" s="225"/>
      <c r="F30" s="225"/>
      <c r="G30" s="225"/>
      <c r="H30" s="225"/>
      <c r="I30" s="226"/>
    </row>
    <row r="31" spans="1:9" x14ac:dyDescent="0.25">
      <c r="A31" s="224"/>
      <c r="B31" s="225"/>
      <c r="C31" s="225"/>
      <c r="D31" s="225"/>
      <c r="E31" s="225"/>
      <c r="F31" s="225"/>
      <c r="G31" s="225"/>
      <c r="H31" s="225"/>
      <c r="I31" s="226"/>
    </row>
    <row r="32" spans="1:9" x14ac:dyDescent="0.25">
      <c r="A32" s="247" t="s">
        <v>62</v>
      </c>
      <c r="B32" s="248"/>
      <c r="C32" s="248"/>
      <c r="D32" s="248"/>
      <c r="E32" s="248"/>
      <c r="F32" s="248"/>
      <c r="G32" s="248"/>
      <c r="H32" s="248"/>
      <c r="I32" s="249"/>
    </row>
    <row r="33" spans="1:9" ht="15" customHeight="1" x14ac:dyDescent="0.25">
      <c r="A33" s="224" t="s">
        <v>63</v>
      </c>
      <c r="B33" s="225"/>
      <c r="C33" s="225"/>
      <c r="D33" s="225"/>
      <c r="E33" s="225"/>
      <c r="F33" s="225"/>
      <c r="G33" s="225"/>
      <c r="H33" s="225"/>
      <c r="I33" s="226"/>
    </row>
    <row r="34" spans="1:9" ht="15.75" thickBot="1" x14ac:dyDescent="0.3">
      <c r="A34" s="253"/>
      <c r="B34" s="254"/>
      <c r="C34" s="254"/>
      <c r="D34" s="254"/>
      <c r="E34" s="254"/>
      <c r="F34" s="254"/>
      <c r="G34" s="254"/>
      <c r="H34" s="254"/>
      <c r="I34" s="255"/>
    </row>
  </sheetData>
  <mergeCells count="21">
    <mergeCell ref="A32:I32"/>
    <mergeCell ref="A33:I34"/>
    <mergeCell ref="A17:I17"/>
    <mergeCell ref="A18:I18"/>
    <mergeCell ref="A19:I19"/>
    <mergeCell ref="A25:I25"/>
    <mergeCell ref="A22:I24"/>
    <mergeCell ref="A26:I31"/>
    <mergeCell ref="A16:D16"/>
    <mergeCell ref="A12:I12"/>
    <mergeCell ref="A7:I7"/>
    <mergeCell ref="A8:I8"/>
    <mergeCell ref="A13:I14"/>
    <mergeCell ref="A9:I9"/>
    <mergeCell ref="E16:F16"/>
    <mergeCell ref="A10:I11"/>
    <mergeCell ref="A1:D1"/>
    <mergeCell ref="A2:I2"/>
    <mergeCell ref="A3:I3"/>
    <mergeCell ref="A4:I4"/>
    <mergeCell ref="E1:F1"/>
  </mergeCells>
  <pageMargins left="0.25" right="0.25"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6F263-14D8-4D9D-9F1C-38D517351AAE}">
  <dimension ref="A1:O8"/>
  <sheetViews>
    <sheetView workbookViewId="0">
      <selection activeCell="M9" sqref="M9"/>
    </sheetView>
  </sheetViews>
  <sheetFormatPr baseColWidth="10" defaultRowHeight="15" x14ac:dyDescent="0.25"/>
  <cols>
    <col min="1" max="1" width="10" customWidth="1"/>
    <col min="2" max="2" width="6.7109375" customWidth="1"/>
    <col min="3" max="3" width="9.42578125" customWidth="1"/>
    <col min="4" max="4" width="4.28515625" customWidth="1"/>
    <col min="5" max="5" width="8" customWidth="1"/>
    <col min="6" max="6" width="9.28515625" customWidth="1"/>
    <col min="7" max="7" width="10.85546875" customWidth="1"/>
    <col min="8" max="8" width="8.85546875" customWidth="1"/>
    <col min="9" max="9" width="9.7109375" customWidth="1"/>
    <col min="10" max="11" width="8.140625" customWidth="1"/>
    <col min="12" max="12" width="4.7109375" customWidth="1"/>
    <col min="13" max="14" width="9.42578125" customWidth="1"/>
    <col min="15" max="15" width="11.7109375" customWidth="1"/>
    <col min="16" max="16" width="9.7109375" customWidth="1"/>
    <col min="18" max="18" width="12.42578125" customWidth="1"/>
  </cols>
  <sheetData>
    <row r="1" spans="1:15" ht="15" customHeight="1" thickBot="1" x14ac:dyDescent="0.3">
      <c r="A1" s="260" t="s">
        <v>0</v>
      </c>
      <c r="B1" s="261"/>
      <c r="C1" s="262"/>
      <c r="E1" s="260" t="s">
        <v>9</v>
      </c>
      <c r="F1" s="261"/>
      <c r="G1" s="262"/>
      <c r="H1" s="259"/>
      <c r="I1" s="259"/>
      <c r="J1" s="1"/>
    </row>
    <row r="2" spans="1:15" ht="15" customHeight="1" thickBot="1" x14ac:dyDescent="0.3">
      <c r="A2" s="19"/>
      <c r="B2" s="21" t="s">
        <v>10</v>
      </c>
      <c r="C2" s="21" t="s">
        <v>11</v>
      </c>
      <c r="E2" s="19"/>
      <c r="F2" s="21" t="s">
        <v>10</v>
      </c>
      <c r="G2" s="20" t="s">
        <v>11</v>
      </c>
      <c r="H2" s="1"/>
      <c r="I2" s="1"/>
      <c r="J2" s="1"/>
    </row>
    <row r="3" spans="1:15" ht="15" customHeight="1" thickBot="1" x14ac:dyDescent="0.3">
      <c r="A3" s="6" t="s">
        <v>1</v>
      </c>
      <c r="B3" s="7">
        <v>0</v>
      </c>
      <c r="C3" s="8">
        <v>0</v>
      </c>
      <c r="E3" s="23" t="s">
        <v>1</v>
      </c>
      <c r="F3" s="5">
        <v>0</v>
      </c>
      <c r="G3" s="12">
        <v>0</v>
      </c>
      <c r="N3" s="264" t="s">
        <v>10</v>
      </c>
      <c r="O3" s="262" t="s">
        <v>15</v>
      </c>
    </row>
    <row r="4" spans="1:15" ht="15" customHeight="1" thickBot="1" x14ac:dyDescent="0.3">
      <c r="A4" s="6" t="s">
        <v>2</v>
      </c>
      <c r="B4" s="7">
        <v>0</v>
      </c>
      <c r="C4" s="8">
        <v>0</v>
      </c>
      <c r="E4" s="10" t="s">
        <v>2</v>
      </c>
      <c r="F4" s="11">
        <v>0</v>
      </c>
      <c r="G4" s="8">
        <v>0</v>
      </c>
      <c r="M4" s="27"/>
      <c r="N4" s="265"/>
      <c r="O4" s="263"/>
    </row>
    <row r="5" spans="1:15" ht="15" customHeight="1" thickBot="1" x14ac:dyDescent="0.3">
      <c r="A5" s="6" t="s">
        <v>3</v>
      </c>
      <c r="B5" s="7">
        <v>0</v>
      </c>
      <c r="C5" s="8">
        <v>0</v>
      </c>
      <c r="E5" s="17"/>
      <c r="F5" s="22"/>
      <c r="G5" s="18"/>
      <c r="J5" s="21" t="s">
        <v>10</v>
      </c>
      <c r="K5" s="21" t="s">
        <v>16</v>
      </c>
      <c r="M5" s="2" t="s">
        <v>13</v>
      </c>
      <c r="N5" s="28">
        <v>0</v>
      </c>
      <c r="O5" s="29">
        <v>0</v>
      </c>
    </row>
    <row r="6" spans="1:15" ht="15" customHeight="1" thickBot="1" x14ac:dyDescent="0.3">
      <c r="A6" s="14" t="s">
        <v>4</v>
      </c>
      <c r="B6" s="15">
        <v>0</v>
      </c>
      <c r="C6" s="12">
        <v>0</v>
      </c>
      <c r="E6" s="17"/>
      <c r="F6" s="22"/>
      <c r="G6" s="18"/>
      <c r="I6" s="2" t="s">
        <v>8</v>
      </c>
      <c r="J6" s="26">
        <v>0</v>
      </c>
      <c r="K6" s="4" t="s">
        <v>12</v>
      </c>
      <c r="M6" s="2" t="s">
        <v>14</v>
      </c>
      <c r="N6" s="26">
        <v>0</v>
      </c>
      <c r="O6" s="3">
        <v>0</v>
      </c>
    </row>
    <row r="7" spans="1:15" ht="15" customHeight="1" thickBot="1" x14ac:dyDescent="0.3">
      <c r="A7" s="10" t="s">
        <v>5</v>
      </c>
      <c r="B7" s="11">
        <v>0</v>
      </c>
      <c r="C7" s="8">
        <v>0</v>
      </c>
      <c r="E7" s="10" t="s">
        <v>5</v>
      </c>
      <c r="F7" s="11">
        <v>1</v>
      </c>
      <c r="G7" s="8">
        <v>0</v>
      </c>
    </row>
    <row r="8" spans="1:15" ht="15" customHeight="1" thickBot="1" x14ac:dyDescent="0.3">
      <c r="A8" s="9" t="s">
        <v>6</v>
      </c>
      <c r="B8" s="16">
        <v>0</v>
      </c>
      <c r="C8" s="13">
        <v>0</v>
      </c>
      <c r="E8" s="24" t="s">
        <v>6</v>
      </c>
      <c r="F8" s="25">
        <v>0</v>
      </c>
      <c r="G8" s="13">
        <v>0</v>
      </c>
    </row>
  </sheetData>
  <mergeCells count="5">
    <mergeCell ref="H1:I1"/>
    <mergeCell ref="A1:C1"/>
    <mergeCell ref="E1:G1"/>
    <mergeCell ref="O3:O4"/>
    <mergeCell ref="N3:N4"/>
  </mergeCells>
  <dataValidations count="1">
    <dataValidation type="list" allowBlank="1" showInputMessage="1" showErrorMessage="1" sqref="K6" xr:uid="{E1FA2264-B5F6-4549-B0D7-4D2128963B76}">
      <formula1>"Normal,Edge"</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Frente</vt:lpstr>
      <vt:lpstr>Descripciones</vt:lpstr>
      <vt:lpstr>Arquetipos</vt:lpstr>
      <vt:lpstr>Modifiers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dc:creator>
  <cp:lastModifiedBy>JUAREZ JAVIER DAVID</cp:lastModifiedBy>
  <cp:lastPrinted>2025-12-05T04:09:48Z</cp:lastPrinted>
  <dcterms:created xsi:type="dcterms:W3CDTF">2015-06-05T18:19:34Z</dcterms:created>
  <dcterms:modified xsi:type="dcterms:W3CDTF">2025-12-05T04:09:52Z</dcterms:modified>
</cp:coreProperties>
</file>
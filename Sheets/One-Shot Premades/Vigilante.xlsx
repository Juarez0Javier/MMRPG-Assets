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A:\Javier\TTRPGs\Marvel Multiverse RPG\Sheets\One-Shot Premades\"/>
    </mc:Choice>
  </mc:AlternateContent>
  <xr:revisionPtr revIDLastSave="0" documentId="13_ncr:1_{585C3D98-CCCD-44A5-8124-1685C569017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Frente" sheetId="1" r:id="rId1"/>
    <sheet name="Descripciones" sheetId="2" r:id="rId2"/>
    <sheet name="Archetipos" sheetId="5" r:id="rId3"/>
    <sheet name="Modifi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6" i="1"/>
  <c r="C48" i="1"/>
  <c r="C46" i="1"/>
  <c r="C44" i="1"/>
  <c r="C42" i="1"/>
  <c r="E20" i="1"/>
  <c r="D30" i="1"/>
  <c r="E42" i="1"/>
  <c r="E44" i="1"/>
  <c r="E46" i="1"/>
  <c r="E48" i="1"/>
  <c r="D32" i="1"/>
  <c r="D34" i="1"/>
  <c r="D36" i="1"/>
  <c r="D38" i="1"/>
  <c r="D2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<sst xmlns="http://schemas.openxmlformats.org/spreadsheetml/2006/main" count="122" uniqueCount="100">
  <si>
    <t>Defense Score</t>
  </si>
  <si>
    <t>Melee</t>
  </si>
  <si>
    <t>Agility</t>
  </si>
  <si>
    <t>Resilience</t>
  </si>
  <si>
    <t>Vigilance</t>
  </si>
  <si>
    <t>Ego</t>
  </si>
  <si>
    <t>Logic</t>
  </si>
  <si>
    <t>+</t>
  </si>
  <si>
    <t xml:space="preserve">Initiative </t>
  </si>
  <si>
    <t>Damage Multiplier</t>
  </si>
  <si>
    <t>Bonus</t>
  </si>
  <si>
    <t>Override</t>
  </si>
  <si>
    <t>Normal</t>
  </si>
  <si>
    <t xml:space="preserve">Health </t>
  </si>
  <si>
    <t xml:space="preserve">Focus </t>
  </si>
  <si>
    <t>Multiplier Override</t>
  </si>
  <si>
    <t>Edge</t>
  </si>
  <si>
    <t>Reservas</t>
  </si>
  <si>
    <t>Poderes</t>
  </si>
  <si>
    <t>Origen</t>
  </si>
  <si>
    <t>Alineamiento</t>
  </si>
  <si>
    <t>Identidad</t>
  </si>
  <si>
    <t>Tamaño</t>
  </si>
  <si>
    <t>Velocidad</t>
  </si>
  <si>
    <t>Daño</t>
  </si>
  <si>
    <t>Habilidades</t>
  </si>
  <si>
    <t>Valor de Habilidad</t>
  </si>
  <si>
    <t>Defensa de Habilidad</t>
  </si>
  <si>
    <t>Agilidad</t>
  </si>
  <si>
    <t>Vigilancia</t>
  </si>
  <si>
    <t>Resiliencia</t>
  </si>
  <si>
    <t>Reducción de Daño</t>
  </si>
  <si>
    <t>Modificador de Iniciativa</t>
  </si>
  <si>
    <t>Lógica</t>
  </si>
  <si>
    <t>Ocupación</t>
  </si>
  <si>
    <t>Heroico</t>
  </si>
  <si>
    <t>Talentos</t>
  </si>
  <si>
    <t>Nombre Civil</t>
  </si>
  <si>
    <t>Nombre Heroico</t>
  </si>
  <si>
    <t>Rasgos</t>
  </si>
  <si>
    <t>/10</t>
  </si>
  <si>
    <t>Grado</t>
  </si>
  <si>
    <t>Incrementos de Habilidades</t>
  </si>
  <si>
    <t>+1 Agilidad  +1 Vigilancia</t>
  </si>
  <si>
    <t>Información Adicional y Etiquetas</t>
  </si>
  <si>
    <t>Descripciones de Rasgos y Poderes</t>
  </si>
  <si>
    <t>Vigilante</t>
  </si>
  <si>
    <t>⛌</t>
  </si>
  <si>
    <t>Escalar</t>
  </si>
  <si>
    <t>Percibir y Deducir</t>
  </si>
  <si>
    <t>Correr por Azoteas</t>
  </si>
  <si>
    <t>Armas Cercanas</t>
  </si>
  <si>
    <t>Armas de Rango</t>
  </si>
  <si>
    <t>Golpe Vicioso (Estándar, Instantáneo)</t>
  </si>
  <si>
    <t>Melé</t>
  </si>
  <si>
    <t>Ataque de Melé vs Defensa de Melé a alcance normal. En un éxito, daño normal. Si es Fantástico, doble daño y aplica el efecto del Arma.</t>
  </si>
  <si>
    <t>Ataque de Agilidad vs Defensa de Agilidad a rango normal. En un éxito, daño normal. Si es Fantástico, doble daño y aplica el efecto del Arma.</t>
  </si>
  <si>
    <t>+1 Melé  +1 Resiliencia</t>
  </si>
  <si>
    <r>
      <t xml:space="preserve">Armas Cercanas: </t>
    </r>
    <r>
      <rPr>
        <sz val="11"/>
        <color theme="1"/>
        <rFont val="Calibri"/>
        <family val="2"/>
        <scheme val="minor"/>
      </rPr>
      <t>Contraataque</t>
    </r>
  </si>
  <si>
    <t>Postura de Defensa (Estándar o Movimiento, Concentración, 5 Foco)</t>
  </si>
  <si>
    <t>Ataque de Agilidad vs Defensa de Melé a alcance normal. En un éxito, daño normal. Si es Fantástico, doble daño y el objetivo esta Tumbado.</t>
  </si>
  <si>
    <t>Vigilante - Centinela</t>
  </si>
  <si>
    <t>Vigilante - Acróbata</t>
  </si>
  <si>
    <r>
      <t xml:space="preserve">Artes Marciales: </t>
    </r>
    <r>
      <rPr>
        <sz val="11"/>
        <color theme="1"/>
        <rFont val="Calibri"/>
        <family val="2"/>
        <scheme val="minor"/>
      </rPr>
      <t>Postura de Defensa, Patada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Rápida</t>
    </r>
  </si>
  <si>
    <t>Básico</t>
  </si>
  <si>
    <t>Golpe Vicioso, Desvió</t>
  </si>
  <si>
    <t>Tiro Rápido</t>
  </si>
  <si>
    <t>Desvió (Reacción, Instantáneo)</t>
  </si>
  <si>
    <t>Tiro Rápido (Estándar, Instantáneo)</t>
  </si>
  <si>
    <r>
      <t xml:space="preserve">Reflejos de Combate: </t>
    </r>
    <r>
      <rPr>
        <sz val="11"/>
        <color theme="1"/>
        <rFont val="Calibri"/>
        <family val="2"/>
        <scheme val="minor"/>
      </rPr>
      <t>Tenes una Reacción mas por ronda.</t>
    </r>
  </si>
  <si>
    <t>[1 a Elección]</t>
  </si>
  <si>
    <t>[1 a Elección de Rango]</t>
  </si>
  <si>
    <t>[1 a Elección de Cercanas]</t>
  </si>
  <si>
    <t>Tot. 10</t>
  </si>
  <si>
    <t>Armas</t>
  </si>
  <si>
    <r>
      <rPr>
        <b/>
        <sz val="10"/>
        <color theme="1"/>
        <rFont val="Calibri"/>
        <family val="2"/>
        <scheme val="minor"/>
      </rPr>
      <t>Correr</t>
    </r>
    <r>
      <rPr>
        <sz val="10"/>
        <color theme="1"/>
        <rFont val="Calibri"/>
        <family val="2"/>
        <scheme val="minor"/>
      </rPr>
      <t xml:space="preserve"> 5, </t>
    </r>
    <r>
      <rPr>
        <b/>
        <sz val="10"/>
        <color theme="1"/>
        <rFont val="Calibri"/>
        <family val="2"/>
        <scheme val="minor"/>
      </rPr>
      <t>Escalar</t>
    </r>
    <r>
      <rPr>
        <sz val="10"/>
        <color theme="1"/>
        <rFont val="Calibri"/>
        <family val="2"/>
        <scheme val="minor"/>
      </rPr>
      <t xml:space="preserve"> 5</t>
    </r>
  </si>
  <si>
    <t>Tienes un +1 a tu Multiplicador de Daño Melé.</t>
  </si>
  <si>
    <t>Poderos (Permanente)</t>
  </si>
  <si>
    <r>
      <t xml:space="preserve">Básico: </t>
    </r>
    <r>
      <rPr>
        <sz val="11"/>
        <color theme="1"/>
        <rFont val="Calibri"/>
        <family val="2"/>
        <scheme val="minor"/>
      </rPr>
      <t>Reflejos de Combate</t>
    </r>
  </si>
  <si>
    <t>Reflejos de Combate (Permanente)</t>
  </si>
  <si>
    <t>Tienes una Reacción mas por ronda.</t>
  </si>
  <si>
    <r>
      <t xml:space="preserve">Básico: </t>
    </r>
    <r>
      <rPr>
        <sz val="11"/>
        <color theme="1"/>
        <rFont val="Calibri"/>
        <family val="2"/>
        <scheme val="minor"/>
      </rPr>
      <t>Luchador, Poderoso</t>
    </r>
  </si>
  <si>
    <t>Resiliencia + 1 x 20</t>
  </si>
  <si>
    <t xml:space="preserve">Foco </t>
  </si>
  <si>
    <t>Vigilancia + 1 x 20</t>
  </si>
  <si>
    <t>Karma</t>
  </si>
  <si>
    <t xml:space="preserve"> Grado</t>
  </si>
  <si>
    <t>Avances</t>
  </si>
  <si>
    <t xml:space="preserve"> 10 Puntos por Grado</t>
  </si>
  <si>
    <t>Aguante</t>
  </si>
  <si>
    <t>Escalar (Permanente)</t>
  </si>
  <si>
    <t>Tienes una velocidad de Escalar igual a tu velocidad de Correr.</t>
  </si>
  <si>
    <t>+5 Avances</t>
  </si>
  <si>
    <t>Cuanto te atacan vs Defensa Melé. El ataque tiene Desventaja.</t>
  </si>
  <si>
    <t>Contraataque (Reacción, Instantáneo)</t>
  </si>
  <si>
    <t>Cuanto te atacan vs Defensa Melé, y el ataque falla. Ataque de Melé vs Defensa de Melé a alcance normal al enemigo que te ataco. En un éxito, daño normal. Si es Fantástico, doble daño y aplica el efecto del Arma.</t>
  </si>
  <si>
    <t>Reemplazas tu Defensa de Agilidad por tu Defensa de Melé.</t>
  </si>
  <si>
    <t>Patada Rápida (Estándar, Instantáneo)</t>
  </si>
  <si>
    <t>Luchador (Estándar o Movimiento, Concentración)</t>
  </si>
  <si>
    <t>El primer ataque vs tu Defensa de Melé o Agilidad que recibes en cada turno tiene Desventaja.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</si>
</sst>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FFB3B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7E7"/>
        <bgColor indexed="64"/>
      </patternFill>
    </fill>
  </fills>
  <borders count="65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rgb="FFC00000"/>
      </right>
      <top/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/>
      <top/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0" fillId="0" borderId="0" xfId="0" applyAlignment="1">
      <alignment horizontal="center"/>
    </xf>
    <xf numFmtId="0" fontId="0" fillId="5" borderId="18" xfId="0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0" fillId="5" borderId="0" xfId="0" applyFill="1" applyAlignment="1">
      <alignment horizontal="center"/>
    </xf>
    <xf numFmtId="0" fontId="0" fillId="5" borderId="26" xfId="0" applyFill="1" applyBorder="1"/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/>
    <xf numFmtId="0" fontId="0" fillId="5" borderId="30" xfId="0" applyFill="1" applyBorder="1"/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22" xfId="0" applyFill="1" applyBorder="1"/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4" borderId="37" xfId="0" applyFill="1" applyBorder="1"/>
    <xf numFmtId="0" fontId="0" fillId="4" borderId="25" xfId="0" applyFill="1" applyBorder="1" applyAlignment="1">
      <alignment horizontal="center"/>
    </xf>
    <xf numFmtId="0" fontId="1" fillId="6" borderId="26" xfId="0" applyFont="1" applyFill="1" applyBorder="1" applyAlignment="1">
      <alignment horizontal="center" wrapText="1"/>
    </xf>
    <xf numFmtId="0" fontId="1" fillId="6" borderId="31" xfId="0" applyFont="1" applyFill="1" applyBorder="1" applyAlignment="1">
      <alignment horizontal="center" wrapText="1"/>
    </xf>
    <xf numFmtId="0" fontId="1" fillId="6" borderId="2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 applyAlignment="1">
      <alignment horizontal="center"/>
    </xf>
    <xf numFmtId="0" fontId="0" fillId="5" borderId="48" xfId="0" applyFill="1" applyBorder="1"/>
    <xf numFmtId="0" fontId="0" fillId="0" borderId="46" xfId="0" applyBorder="1"/>
    <xf numFmtId="0" fontId="0" fillId="5" borderId="49" xfId="0" applyFill="1" applyBorder="1"/>
    <xf numFmtId="0" fontId="0" fillId="5" borderId="47" xfId="0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7" borderId="55" xfId="0" applyFont="1" applyFill="1" applyBorder="1"/>
    <xf numFmtId="0" fontId="2" fillId="7" borderId="5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/>
    <xf numFmtId="0" fontId="3" fillId="7" borderId="8" xfId="0" applyFont="1" applyFill="1" applyBorder="1" applyAlignment="1">
      <alignment horizontal="center"/>
    </xf>
    <xf numFmtId="0" fontId="3" fillId="7" borderId="12" xfId="0" applyFont="1" applyFill="1" applyBorder="1"/>
    <xf numFmtId="0" fontId="3" fillId="7" borderId="4" xfId="0" applyFont="1" applyFill="1" applyBorder="1"/>
    <xf numFmtId="0" fontId="3" fillId="7" borderId="0" xfId="0" applyFont="1" applyFill="1"/>
    <xf numFmtId="0" fontId="10" fillId="0" borderId="0" xfId="0" applyFont="1"/>
    <xf numFmtId="0" fontId="5" fillId="2" borderId="56" xfId="0" applyFont="1" applyFill="1" applyBorder="1" applyAlignment="1">
      <alignment horizontal="left"/>
    </xf>
    <xf numFmtId="0" fontId="2" fillId="7" borderId="3" xfId="0" applyFont="1" applyFill="1" applyBorder="1"/>
    <xf numFmtId="0" fontId="2" fillId="7" borderId="12" xfId="0" applyFont="1" applyFill="1" applyBorder="1"/>
    <xf numFmtId="0" fontId="2" fillId="7" borderId="8" xfId="0" applyFont="1" applyFill="1" applyBorder="1"/>
    <xf numFmtId="0" fontId="2" fillId="7" borderId="0" xfId="0" applyFont="1" applyFill="1"/>
    <xf numFmtId="0" fontId="2" fillId="7" borderId="1" xfId="0" applyFont="1" applyFill="1" applyBorder="1" applyAlignment="1">
      <alignment horizontal="left"/>
    </xf>
    <xf numFmtId="0" fontId="3" fillId="7" borderId="8" xfId="0" applyFont="1" applyFill="1" applyBorder="1"/>
    <xf numFmtId="0" fontId="3" fillId="7" borderId="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7" borderId="12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15" fillId="7" borderId="8" xfId="0" applyFont="1" applyFill="1" applyBorder="1"/>
    <xf numFmtId="0" fontId="12" fillId="7" borderId="3" xfId="0" applyFont="1" applyFill="1" applyBorder="1"/>
    <xf numFmtId="0" fontId="12" fillId="7" borderId="8" xfId="0" applyFont="1" applyFill="1" applyBorder="1"/>
    <xf numFmtId="0" fontId="12" fillId="7" borderId="0" xfId="0" applyFont="1" applyFill="1"/>
    <xf numFmtId="0" fontId="12" fillId="7" borderId="7" xfId="0" applyFont="1" applyFill="1" applyBorder="1"/>
    <xf numFmtId="0" fontId="0" fillId="7" borderId="12" xfId="0" applyFill="1" applyBorder="1" applyAlignment="1">
      <alignment horizontal="left" vertical="center"/>
    </xf>
    <xf numFmtId="0" fontId="12" fillId="7" borderId="3" xfId="0" applyFont="1" applyFill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0" fillId="7" borderId="8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18" fillId="0" borderId="0" xfId="0" applyFont="1"/>
    <xf numFmtId="0" fontId="2" fillId="7" borderId="3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0" fontId="19" fillId="7" borderId="44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horizontal="center" vertical="center"/>
    </xf>
    <xf numFmtId="0" fontId="19" fillId="7" borderId="45" xfId="0" applyFont="1" applyFill="1" applyBorder="1" applyAlignment="1">
      <alignment horizontal="center" vertical="center"/>
    </xf>
    <xf numFmtId="0" fontId="3" fillId="7" borderId="8" xfId="0" applyFont="1" applyFill="1" applyBorder="1"/>
    <xf numFmtId="0" fontId="3" fillId="7" borderId="0" xfId="0" applyFont="1" applyFill="1"/>
    <xf numFmtId="0" fontId="3" fillId="7" borderId="7" xfId="0" applyFont="1" applyFill="1" applyBorder="1"/>
    <xf numFmtId="0" fontId="3" fillId="7" borderId="62" xfId="0" applyFont="1" applyFill="1" applyBorder="1"/>
    <xf numFmtId="0" fontId="3" fillId="7" borderId="63" xfId="0" applyFont="1" applyFill="1" applyBorder="1"/>
    <xf numFmtId="0" fontId="3" fillId="7" borderId="64" xfId="0" applyFont="1" applyFill="1" applyBorder="1"/>
    <xf numFmtId="0" fontId="3" fillId="7" borderId="3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7" borderId="8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3" fillId="7" borderId="57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2" fillId="7" borderId="58" xfId="0" applyFont="1" applyFill="1" applyBorder="1" applyAlignment="1">
      <alignment horizontal="left" vertical="top"/>
    </xf>
    <xf numFmtId="0" fontId="2" fillId="7" borderId="59" xfId="0" applyFont="1" applyFill="1" applyBorder="1" applyAlignment="1">
      <alignment horizontal="left" vertical="top"/>
    </xf>
    <xf numFmtId="0" fontId="3" fillId="7" borderId="60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3" fillId="7" borderId="61" xfId="0" applyFont="1" applyFill="1" applyBorder="1" applyAlignment="1">
      <alignment horizontal="left" vertical="top"/>
    </xf>
    <xf numFmtId="0" fontId="3" fillId="7" borderId="6" xfId="0" applyFont="1" applyFill="1" applyBorder="1" applyAlignment="1">
      <alignment horizontal="left" vertical="top"/>
    </xf>
    <xf numFmtId="0" fontId="16" fillId="7" borderId="8" xfId="0" applyFont="1" applyFill="1" applyBorder="1"/>
    <xf numFmtId="0" fontId="16" fillId="7" borderId="0" xfId="0" applyFont="1" applyFill="1"/>
    <xf numFmtId="0" fontId="16" fillId="7" borderId="7" xfId="0" applyFont="1" applyFill="1" applyBorder="1"/>
    <xf numFmtId="0" fontId="3" fillId="7" borderId="44" xfId="0" applyFont="1" applyFill="1" applyBorder="1"/>
    <xf numFmtId="0" fontId="3" fillId="7" borderId="41" xfId="0" applyFont="1" applyFill="1" applyBorder="1"/>
    <xf numFmtId="0" fontId="3" fillId="7" borderId="45" xfId="0" applyFont="1" applyFill="1" applyBorder="1"/>
    <xf numFmtId="0" fontId="3" fillId="7" borderId="53" xfId="0" applyFont="1" applyFill="1" applyBorder="1" applyAlignment="1">
      <alignment horizontal="right" wrapText="1"/>
    </xf>
    <xf numFmtId="0" fontId="3" fillId="7" borderId="51" xfId="0" applyFont="1" applyFill="1" applyBorder="1" applyAlignment="1">
      <alignment horizontal="right" wrapText="1"/>
    </xf>
    <xf numFmtId="0" fontId="3" fillId="7" borderId="5" xfId="0" applyFont="1" applyFill="1" applyBorder="1" applyAlignment="1">
      <alignment horizontal="left" wrapText="1"/>
    </xf>
    <xf numFmtId="0" fontId="3" fillId="7" borderId="13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3" borderId="42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10" fillId="7" borderId="5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wrapText="1"/>
    </xf>
    <xf numFmtId="0" fontId="2" fillId="7" borderId="13" xfId="0" applyFont="1" applyFill="1" applyBorder="1" applyAlignment="1">
      <alignment horizontal="left" wrapText="1"/>
    </xf>
    <xf numFmtId="0" fontId="3" fillId="7" borderId="8" xfId="0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7" borderId="7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left" wrapText="1"/>
    </xf>
    <xf numFmtId="0" fontId="2" fillId="7" borderId="15" xfId="0" applyFont="1" applyFill="1" applyBorder="1" applyAlignment="1">
      <alignment horizontal="left" wrapText="1"/>
    </xf>
    <xf numFmtId="0" fontId="2" fillId="7" borderId="16" xfId="0" applyFont="1" applyFill="1" applyBorder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2" fillId="7" borderId="14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7" borderId="12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3" fillId="7" borderId="51" xfId="0" applyFont="1" applyFill="1" applyBorder="1" applyAlignment="1">
      <alignment horizontal="left" vertical="center" wrapText="1"/>
    </xf>
    <xf numFmtId="0" fontId="3" fillId="7" borderId="52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7" borderId="53" xfId="0" applyFont="1" applyFill="1" applyBorder="1" applyAlignment="1">
      <alignment horizontal="right" vertical="center"/>
    </xf>
    <xf numFmtId="0" fontId="3" fillId="7" borderId="51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13" fillId="0" borderId="20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3" fillId="7" borderId="8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44" xfId="0" applyFont="1" applyFill="1" applyBorder="1" applyAlignment="1">
      <alignment horizontal="center"/>
    </xf>
    <xf numFmtId="0" fontId="3" fillId="7" borderId="41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5" xfId="0" applyFont="1" applyFill="1" applyBorder="1"/>
    <xf numFmtId="0" fontId="3" fillId="7" borderId="13" xfId="0" applyFont="1" applyFill="1" applyBorder="1"/>
    <xf numFmtId="0" fontId="3" fillId="7" borderId="6" xfId="0" applyFont="1" applyFill="1" applyBorder="1"/>
    <xf numFmtId="0" fontId="0" fillId="7" borderId="8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12" fillId="7" borderId="62" xfId="0" applyFont="1" applyFill="1" applyBorder="1" applyAlignment="1">
      <alignment horizontal="left"/>
    </xf>
    <xf numFmtId="0" fontId="12" fillId="7" borderId="63" xfId="0" applyFont="1" applyFill="1" applyBorder="1" applyAlignment="1">
      <alignment horizontal="left"/>
    </xf>
    <xf numFmtId="0" fontId="12" fillId="7" borderId="6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7" xfId="0" applyFill="1" applyBorder="1" applyAlignment="1">
      <alignment horizontal="center"/>
    </xf>
    <xf numFmtId="0" fontId="12" fillId="7" borderId="3" xfId="0" applyFont="1" applyFill="1" applyBorder="1" applyAlignment="1">
      <alignment horizontal="left" vertical="top"/>
    </xf>
    <xf numFmtId="0" fontId="12" fillId="7" borderId="12" xfId="0" applyFont="1" applyFill="1" applyBorder="1" applyAlignment="1">
      <alignment horizontal="left" vertical="top"/>
    </xf>
    <xf numFmtId="0" fontId="12" fillId="7" borderId="4" xfId="0" applyFont="1" applyFill="1" applyBorder="1" applyAlignment="1">
      <alignment horizontal="left" vertical="top"/>
    </xf>
    <xf numFmtId="0" fontId="13" fillId="0" borderId="9" xfId="0" applyFont="1" applyBorder="1" applyAlignment="1">
      <alignment vertical="top"/>
    </xf>
    <xf numFmtId="0" fontId="13" fillId="0" borderId="20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0" fillId="7" borderId="44" xfId="0" quotePrefix="1" applyFill="1" applyBorder="1" applyAlignment="1">
      <alignment horizontal="left"/>
    </xf>
    <xf numFmtId="0" fontId="0" fillId="7" borderId="41" xfId="0" quotePrefix="1" applyFill="1" applyBorder="1" applyAlignment="1">
      <alignment horizontal="left"/>
    </xf>
    <xf numFmtId="0" fontId="0" fillId="7" borderId="45" xfId="0" quotePrefix="1" applyFill="1" applyBorder="1" applyAlignment="1">
      <alignment horizontal="left"/>
    </xf>
    <xf numFmtId="0" fontId="0" fillId="7" borderId="44" xfId="0" applyFill="1" applyBorder="1" applyAlignment="1">
      <alignment horizontal="left" vertical="center" wrapText="1"/>
    </xf>
    <xf numFmtId="0" fontId="0" fillId="7" borderId="41" xfId="0" applyFill="1" applyBorder="1" applyAlignment="1">
      <alignment horizontal="left" vertical="center" wrapText="1"/>
    </xf>
    <xf numFmtId="0" fontId="0" fillId="7" borderId="45" xfId="0" applyFill="1" applyBorder="1" applyAlignment="1">
      <alignment horizontal="left" vertical="center" wrapText="1"/>
    </xf>
    <xf numFmtId="0" fontId="12" fillId="7" borderId="62" xfId="0" applyFont="1" applyFill="1" applyBorder="1" applyAlignment="1">
      <alignment horizontal="left" vertical="center"/>
    </xf>
    <xf numFmtId="0" fontId="12" fillId="7" borderId="63" xfId="0" applyFont="1" applyFill="1" applyBorder="1" applyAlignment="1">
      <alignment horizontal="left" vertical="center"/>
    </xf>
    <xf numFmtId="0" fontId="12" fillId="7" borderId="64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0" fontId="12" fillId="7" borderId="7" xfId="0" applyFont="1" applyFill="1" applyBorder="1" applyAlignment="1">
      <alignment horizontal="left" vertical="top" wrapText="1"/>
    </xf>
    <xf numFmtId="0" fontId="0" fillId="0" borderId="9" xfId="0" quotePrefix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0" fillId="0" borderId="0" xfId="0" applyAlignment="1">
      <alignment horizontal="center"/>
    </xf>
    <xf numFmtId="0" fontId="1" fillId="6" borderId="22" xfId="0" applyFont="1" applyFill="1" applyBorder="1" applyAlignment="1">
      <alignment horizontal="center" wrapText="1"/>
    </xf>
    <xf numFmtId="0" fontId="1" fillId="6" borderId="23" xfId="0" applyFont="1" applyFill="1" applyBorder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0" fontId="1" fillId="6" borderId="50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  <color rgb="FFFFE7E7"/>
      <color rgb="FFFFD9D9"/>
      <color rgb="FFFFCCCC"/>
      <color rgb="FFFF6699"/>
      <color rgb="FFFF7C80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opLeftCell="A12" zoomScale="130" zoomScaleNormal="130" workbookViewId="0">
      <selection activeCell="D34" sqref="D34:E35"/>
    </sheetView>
  </sheetViews>
  <sheetFormatPr baseColWidth="10" defaultColWidth="9.140625" defaultRowHeight="15" x14ac:dyDescent="0.25"/>
  <cols>
    <col min="1" max="3" width="4.7109375" customWidth="1"/>
    <col min="4" max="4" width="6.28515625" customWidth="1"/>
    <col min="5" max="5" width="10.5703125" customWidth="1"/>
    <col min="6" max="6" width="4" customWidth="1"/>
    <col min="7" max="7" width="11.7109375" customWidth="1"/>
    <col min="8" max="8" width="9.7109375" customWidth="1"/>
    <col min="9" max="9" width="11.7109375" customWidth="1"/>
    <col min="10" max="10" width="3" customWidth="1"/>
    <col min="11" max="12" width="7.7109375" customWidth="1"/>
    <col min="13" max="13" width="11.5703125" customWidth="1"/>
    <col min="14" max="14" width="7.7109375" customWidth="1"/>
    <col min="15" max="15" width="4.140625" customWidth="1"/>
    <col min="16" max="16" width="3.85546875" customWidth="1"/>
    <col min="17" max="17" width="3.5703125" customWidth="1"/>
  </cols>
  <sheetData>
    <row r="1" spans="1:22" ht="14.1" customHeight="1" thickBot="1" x14ac:dyDescent="0.3">
      <c r="A1" s="144" t="e" vm="1">
        <v>#VALUE!</v>
      </c>
      <c r="B1" s="144"/>
      <c r="C1" s="144"/>
      <c r="D1" s="144"/>
      <c r="E1" s="144"/>
      <c r="F1" s="30"/>
      <c r="G1" s="33" t="s">
        <v>37</v>
      </c>
      <c r="H1" s="92"/>
      <c r="I1" s="93"/>
      <c r="K1" s="48" t="s">
        <v>39</v>
      </c>
      <c r="L1" s="30"/>
      <c r="N1" s="30"/>
    </row>
    <row r="2" spans="1:22" ht="14.1" customHeight="1" x14ac:dyDescent="0.25">
      <c r="A2" s="144"/>
      <c r="B2" s="144"/>
      <c r="C2" s="144"/>
      <c r="D2" s="144"/>
      <c r="E2" s="144"/>
      <c r="F2" s="30"/>
      <c r="G2" s="94" t="s">
        <v>19</v>
      </c>
      <c r="H2" s="96"/>
      <c r="I2" s="97"/>
      <c r="K2" s="169" t="s">
        <v>36</v>
      </c>
      <c r="L2" s="170"/>
      <c r="M2" s="171"/>
    </row>
    <row r="3" spans="1:22" ht="14.1" customHeight="1" thickBot="1" x14ac:dyDescent="0.3">
      <c r="A3" s="144"/>
      <c r="B3" s="144"/>
      <c r="C3" s="144"/>
      <c r="D3" s="144"/>
      <c r="E3" s="144"/>
      <c r="F3" s="30"/>
      <c r="G3" s="95"/>
      <c r="H3" s="98"/>
      <c r="I3" s="99"/>
      <c r="K3" s="77" t="s">
        <v>49</v>
      </c>
      <c r="L3" s="78"/>
      <c r="M3" s="79"/>
    </row>
    <row r="4" spans="1:22" ht="14.1" customHeight="1" thickBot="1" x14ac:dyDescent="0.3">
      <c r="A4" s="144"/>
      <c r="B4" s="144"/>
      <c r="C4" s="144"/>
      <c r="D4" s="144"/>
      <c r="E4" s="144"/>
      <c r="F4" s="30"/>
      <c r="G4" s="94" t="s">
        <v>34</v>
      </c>
      <c r="H4" s="96"/>
      <c r="I4" s="97"/>
      <c r="K4" s="49" t="s">
        <v>50</v>
      </c>
      <c r="L4" s="41"/>
      <c r="M4" s="37"/>
    </row>
    <row r="5" spans="1:22" ht="14.1" customHeight="1" thickBot="1" x14ac:dyDescent="0.3">
      <c r="A5" s="65" t="s">
        <v>47</v>
      </c>
      <c r="B5" s="180" t="s">
        <v>46</v>
      </c>
      <c r="C5" s="180"/>
      <c r="D5" s="181"/>
      <c r="E5" s="55"/>
      <c r="F5" s="30"/>
      <c r="G5" s="95"/>
      <c r="H5" s="98"/>
      <c r="I5" s="99"/>
      <c r="K5" s="58" t="s">
        <v>70</v>
      </c>
      <c r="L5" s="41"/>
      <c r="M5" s="37"/>
    </row>
    <row r="6" spans="1:22" ht="14.1" customHeight="1" thickBot="1" x14ac:dyDescent="0.3">
      <c r="F6" s="30"/>
      <c r="G6" s="33" t="s">
        <v>20</v>
      </c>
      <c r="H6" s="92" t="s">
        <v>35</v>
      </c>
      <c r="I6" s="93"/>
      <c r="K6" s="100"/>
      <c r="L6" s="101"/>
      <c r="M6" s="102"/>
    </row>
    <row r="7" spans="1:22" ht="14.1" customHeight="1" thickBot="1" x14ac:dyDescent="0.3">
      <c r="A7" s="141" t="s">
        <v>38</v>
      </c>
      <c r="B7" s="142"/>
      <c r="C7" s="142"/>
      <c r="D7" s="143"/>
      <c r="E7" s="34" t="s">
        <v>41</v>
      </c>
      <c r="F7" s="30"/>
      <c r="G7" s="33" t="s">
        <v>21</v>
      </c>
      <c r="H7" s="92"/>
      <c r="I7" s="93"/>
      <c r="K7" s="77"/>
      <c r="L7" s="78"/>
      <c r="M7" s="79"/>
      <c r="U7" s="30"/>
      <c r="V7" s="30"/>
    </row>
    <row r="8" spans="1:22" ht="14.1" customHeight="1" thickBot="1" x14ac:dyDescent="0.3">
      <c r="A8" s="108"/>
      <c r="B8" s="109"/>
      <c r="C8" s="109"/>
      <c r="D8" s="110"/>
      <c r="E8" s="35">
        <v>1</v>
      </c>
      <c r="F8" s="30"/>
      <c r="G8" s="33" t="s">
        <v>22</v>
      </c>
      <c r="H8" s="92" t="s">
        <v>12</v>
      </c>
      <c r="I8" s="93"/>
      <c r="K8" s="77"/>
      <c r="L8" s="78"/>
      <c r="M8" s="79"/>
    </row>
    <row r="9" spans="1:22" ht="14.1" customHeight="1" thickBot="1" x14ac:dyDescent="0.3">
      <c r="A9" s="30"/>
      <c r="B9" s="30"/>
      <c r="C9" s="30"/>
      <c r="D9" s="30"/>
      <c r="E9" s="30"/>
      <c r="F9" s="30"/>
      <c r="K9" s="77"/>
      <c r="L9" s="78"/>
      <c r="M9" s="79"/>
    </row>
    <row r="10" spans="1:22" ht="14.1" customHeight="1" thickBot="1" x14ac:dyDescent="0.3">
      <c r="A10" s="70" t="s">
        <v>89</v>
      </c>
      <c r="B10" s="71"/>
      <c r="C10" s="71"/>
      <c r="D10" s="72"/>
      <c r="E10" s="111" t="s">
        <v>31</v>
      </c>
      <c r="F10" s="30"/>
      <c r="G10" s="172" t="s">
        <v>44</v>
      </c>
      <c r="H10" s="173"/>
      <c r="I10" s="174"/>
      <c r="K10" s="103"/>
      <c r="L10" s="104"/>
      <c r="M10" s="105"/>
    </row>
    <row r="11" spans="1:22" ht="14.1" customHeight="1" x14ac:dyDescent="0.25">
      <c r="A11" s="74" t="s">
        <v>82</v>
      </c>
      <c r="B11" s="75"/>
      <c r="C11" s="75"/>
      <c r="D11" s="76"/>
      <c r="E11" s="112"/>
      <c r="F11" s="30"/>
      <c r="G11" s="83"/>
      <c r="H11" s="84"/>
      <c r="I11" s="85"/>
      <c r="K11" s="80"/>
      <c r="L11" s="81"/>
      <c r="M11" s="82"/>
    </row>
    <row r="12" spans="1:22" ht="14.1" customHeight="1" thickBot="1" x14ac:dyDescent="0.3">
      <c r="A12" s="106"/>
      <c r="B12" s="107"/>
      <c r="C12" s="154" t="str">
        <f>_xlfn.CONCAT("/",IF(A32=0,20,20 + A32*IF(Modifiers!O5,Modifiers!O5,20)) + Modifiers!N5)</f>
        <v>/40</v>
      </c>
      <c r="D12" s="155"/>
      <c r="E12" s="31"/>
      <c r="F12" s="30"/>
      <c r="G12" s="86"/>
      <c r="H12" s="87"/>
      <c r="I12" s="88"/>
      <c r="K12" s="77"/>
      <c r="L12" s="78"/>
      <c r="M12" s="79"/>
    </row>
    <row r="13" spans="1:22" ht="14.1" customHeight="1" thickBot="1" x14ac:dyDescent="0.3">
      <c r="A13" s="30"/>
      <c r="B13" s="30"/>
      <c r="C13" s="30"/>
      <c r="D13" s="30"/>
      <c r="E13" s="30"/>
      <c r="F13" s="30"/>
      <c r="G13" s="86"/>
      <c r="H13" s="87"/>
      <c r="I13" s="88"/>
      <c r="K13" s="77"/>
      <c r="L13" s="78"/>
      <c r="M13" s="79"/>
    </row>
    <row r="14" spans="1:22" ht="14.1" customHeight="1" x14ac:dyDescent="0.25">
      <c r="A14" s="70" t="s">
        <v>83</v>
      </c>
      <c r="B14" s="71"/>
      <c r="C14" s="71"/>
      <c r="D14" s="72"/>
      <c r="E14" s="111" t="s">
        <v>31</v>
      </c>
      <c r="F14" s="30"/>
      <c r="G14" s="86"/>
      <c r="H14" s="87"/>
      <c r="I14" s="88"/>
      <c r="K14" s="77"/>
      <c r="L14" s="78"/>
      <c r="M14" s="79"/>
    </row>
    <row r="15" spans="1:22" ht="14.1" customHeight="1" x14ac:dyDescent="0.25">
      <c r="A15" s="74" t="s">
        <v>84</v>
      </c>
      <c r="B15" s="75"/>
      <c r="C15" s="75"/>
      <c r="D15" s="76"/>
      <c r="E15" s="112"/>
      <c r="F15" s="30"/>
      <c r="G15" s="89"/>
      <c r="H15" s="90"/>
      <c r="I15" s="91"/>
      <c r="K15" s="77"/>
      <c r="L15" s="78"/>
      <c r="M15" s="79"/>
    </row>
    <row r="16" spans="1:22" ht="14.1" customHeight="1" thickBot="1" x14ac:dyDescent="0.3">
      <c r="A16" s="106"/>
      <c r="B16" s="107"/>
      <c r="C16" s="154" t="str">
        <f>_xlfn.CONCAT("/",IF(A34=0,20,20 + A34 * IF(Modifiers!O6,Modifiers!O6,20)) + Modifiers!N6)</f>
        <v>/20</v>
      </c>
      <c r="D16" s="155"/>
      <c r="E16" s="31"/>
      <c r="F16" s="30"/>
      <c r="G16" s="86"/>
      <c r="H16" s="87"/>
      <c r="I16" s="88"/>
      <c r="K16" s="77"/>
      <c r="L16" s="78"/>
      <c r="M16" s="79"/>
    </row>
    <row r="17" spans="1:14" ht="14.1" customHeight="1" thickBot="1" x14ac:dyDescent="0.3">
      <c r="A17" s="30"/>
      <c r="B17" s="30"/>
      <c r="C17" s="30"/>
      <c r="D17" s="30"/>
      <c r="E17" s="30"/>
      <c r="F17" s="30"/>
      <c r="G17" s="86"/>
      <c r="H17" s="87"/>
      <c r="I17" s="88"/>
      <c r="K17" s="77"/>
      <c r="L17" s="78"/>
      <c r="M17" s="79"/>
    </row>
    <row r="18" spans="1:14" ht="14.1" customHeight="1" x14ac:dyDescent="0.25">
      <c r="A18" s="70" t="s">
        <v>85</v>
      </c>
      <c r="B18" s="71"/>
      <c r="C18" s="73"/>
      <c r="D18" s="152"/>
      <c r="E18" s="111" t="s">
        <v>32</v>
      </c>
      <c r="F18" s="30"/>
      <c r="G18" s="185"/>
      <c r="H18" s="186"/>
      <c r="I18" s="187"/>
      <c r="K18" s="77"/>
      <c r="L18" s="78"/>
      <c r="M18" s="79"/>
    </row>
    <row r="19" spans="1:14" ht="14.1" customHeight="1" thickBot="1" x14ac:dyDescent="0.3">
      <c r="A19" s="136" t="s">
        <v>86</v>
      </c>
      <c r="B19" s="137"/>
      <c r="C19" s="138"/>
      <c r="D19" s="153"/>
      <c r="E19" s="112"/>
      <c r="F19" s="30"/>
      <c r="G19" s="182"/>
      <c r="H19" s="183"/>
      <c r="I19" s="184"/>
      <c r="K19" s="77"/>
      <c r="L19" s="78"/>
      <c r="M19" s="79"/>
    </row>
    <row r="20" spans="1:14" ht="14.1" customHeight="1" thickBot="1" x14ac:dyDescent="0.3">
      <c r="A20" s="132" t="s">
        <v>23</v>
      </c>
      <c r="B20" s="133"/>
      <c r="C20" s="133"/>
      <c r="D20" s="134"/>
      <c r="E20" s="32" t="str">
        <f>_xlfn.CONCAT("+",IF(Modifiers!K6="Edge",_xlfn.CONCAT(A34,"E"),A34))</f>
        <v>+0</v>
      </c>
      <c r="F20" s="30"/>
      <c r="G20" s="86"/>
      <c r="H20" s="87"/>
      <c r="I20" s="88"/>
      <c r="K20" s="77"/>
      <c r="L20" s="78"/>
      <c r="M20" s="79"/>
    </row>
    <row r="21" spans="1:14" ht="14.1" customHeight="1" thickBot="1" x14ac:dyDescent="0.3">
      <c r="A21" s="126" t="s">
        <v>75</v>
      </c>
      <c r="B21" s="127"/>
      <c r="C21" s="127"/>
      <c r="D21" s="127"/>
      <c r="E21" s="157"/>
      <c r="F21" s="30"/>
      <c r="G21" s="188"/>
      <c r="H21" s="189"/>
      <c r="I21" s="190"/>
      <c r="K21" s="191"/>
      <c r="L21" s="192"/>
      <c r="M21" s="193"/>
    </row>
    <row r="22" spans="1:14" ht="14.1" customHeight="1" thickBot="1" x14ac:dyDescent="0.3">
      <c r="A22" s="126"/>
      <c r="B22" s="127"/>
      <c r="C22" s="127"/>
      <c r="D22" s="127"/>
      <c r="E22" s="128"/>
      <c r="F22" s="30"/>
      <c r="J22" s="30"/>
      <c r="K22" s="30"/>
      <c r="L22" s="30"/>
      <c r="M22" s="30"/>
      <c r="N22" s="30"/>
    </row>
    <row r="23" spans="1:14" ht="14.1" customHeight="1" thickBot="1" x14ac:dyDescent="0.3">
      <c r="A23" s="124"/>
      <c r="B23" s="125"/>
      <c r="C23" s="109"/>
      <c r="D23" s="109"/>
      <c r="E23" s="110"/>
      <c r="F23" s="30"/>
      <c r="G23" s="43" t="s">
        <v>18</v>
      </c>
      <c r="H23" s="30"/>
      <c r="I23" s="30"/>
      <c r="J23" s="30"/>
      <c r="K23" s="30"/>
      <c r="L23" s="30"/>
      <c r="M23" s="30"/>
      <c r="N23" s="30"/>
    </row>
    <row r="24" spans="1:14" ht="14.1" customHeight="1" thickBot="1" x14ac:dyDescent="0.3">
      <c r="A24" s="30"/>
      <c r="B24" s="30"/>
      <c r="C24" s="30"/>
      <c r="D24" s="30"/>
      <c r="E24" s="30"/>
      <c r="F24" s="30"/>
      <c r="G24" s="44" t="s">
        <v>64</v>
      </c>
      <c r="H24" s="45"/>
      <c r="I24" s="39" t="s">
        <v>48</v>
      </c>
      <c r="J24" s="39"/>
      <c r="K24" s="39"/>
      <c r="L24" s="39"/>
      <c r="M24" s="40"/>
    </row>
    <row r="25" spans="1:14" ht="14.1" customHeight="1" x14ac:dyDescent="0.25">
      <c r="A25" s="129" t="s">
        <v>25</v>
      </c>
      <c r="B25" s="130"/>
      <c r="C25" s="130"/>
      <c r="D25" s="130"/>
      <c r="E25" s="131"/>
      <c r="F25" s="30"/>
      <c r="G25" s="46"/>
      <c r="H25" s="47"/>
      <c r="I25" s="41"/>
      <c r="J25" s="41"/>
      <c r="K25" s="41"/>
      <c r="L25" s="41"/>
      <c r="M25" s="37"/>
    </row>
    <row r="26" spans="1:14" ht="14.1" customHeight="1" x14ac:dyDescent="0.25">
      <c r="A26" s="146" t="s">
        <v>26</v>
      </c>
      <c r="B26" s="147"/>
      <c r="C26" s="147"/>
      <c r="D26" s="147" t="s">
        <v>27</v>
      </c>
      <c r="E26" s="150"/>
      <c r="F26" s="30"/>
      <c r="G26" s="46"/>
      <c r="H26" s="47"/>
      <c r="I26" s="41"/>
      <c r="J26" s="41"/>
      <c r="K26" s="41"/>
      <c r="L26" s="41"/>
      <c r="M26" s="37"/>
    </row>
    <row r="27" spans="1:14" ht="14.1" customHeight="1" thickBot="1" x14ac:dyDescent="0.3">
      <c r="A27" s="148"/>
      <c r="B27" s="149"/>
      <c r="C27" s="149"/>
      <c r="D27" s="149"/>
      <c r="E27" s="151"/>
      <c r="F27" s="30"/>
      <c r="G27" s="46" t="s">
        <v>51</v>
      </c>
      <c r="H27" s="47"/>
      <c r="I27" s="139" t="s">
        <v>65</v>
      </c>
      <c r="J27" s="139"/>
      <c r="K27" s="139"/>
      <c r="L27" s="139"/>
      <c r="M27" s="140"/>
    </row>
    <row r="28" spans="1:14" ht="14.1" customHeight="1" x14ac:dyDescent="0.25">
      <c r="A28" s="117">
        <v>2</v>
      </c>
      <c r="B28" s="118"/>
      <c r="C28" s="119"/>
      <c r="D28" s="120">
        <f xml:space="preserve"> 10 + A28 + Modifiers!B3</f>
        <v>12</v>
      </c>
      <c r="E28" s="121"/>
      <c r="F28" s="30"/>
      <c r="G28" s="46"/>
      <c r="H28" s="47"/>
      <c r="I28" s="139"/>
      <c r="J28" s="139"/>
      <c r="K28" s="139"/>
      <c r="L28" s="139"/>
      <c r="M28" s="140"/>
    </row>
    <row r="29" spans="1:14" ht="14.1" customHeight="1" thickBot="1" x14ac:dyDescent="0.3">
      <c r="A29" s="114" t="s">
        <v>54</v>
      </c>
      <c r="B29" s="115"/>
      <c r="C29" s="116"/>
      <c r="D29" s="122"/>
      <c r="E29" s="123"/>
      <c r="F29" s="30"/>
      <c r="G29" s="46"/>
      <c r="H29" s="47"/>
      <c r="I29" s="139"/>
      <c r="J29" s="139"/>
      <c r="K29" s="139"/>
      <c r="L29" s="139"/>
      <c r="M29" s="140"/>
    </row>
    <row r="30" spans="1:14" ht="14.1" customHeight="1" x14ac:dyDescent="0.25">
      <c r="A30" s="117">
        <v>2</v>
      </c>
      <c r="B30" s="118"/>
      <c r="C30" s="119"/>
      <c r="D30" s="120">
        <f>IF(Modifiers!C4,Modifiers!C4,10 + A30 + Modifiers!B4)</f>
        <v>12</v>
      </c>
      <c r="E30" s="121"/>
      <c r="F30" s="30"/>
      <c r="G30" s="46" t="s">
        <v>52</v>
      </c>
      <c r="H30" s="47"/>
      <c r="I30" s="139" t="s">
        <v>66</v>
      </c>
      <c r="J30" s="139"/>
      <c r="K30" s="139"/>
      <c r="L30" s="139"/>
      <c r="M30" s="140"/>
    </row>
    <row r="31" spans="1:14" ht="14.1" customHeight="1" thickBot="1" x14ac:dyDescent="0.3">
      <c r="A31" s="114" t="s">
        <v>28</v>
      </c>
      <c r="B31" s="115"/>
      <c r="C31" s="116"/>
      <c r="D31" s="122"/>
      <c r="E31" s="123"/>
      <c r="F31" s="30"/>
      <c r="G31" s="46"/>
      <c r="H31" s="47"/>
      <c r="I31" s="139"/>
      <c r="J31" s="139"/>
      <c r="K31" s="139"/>
      <c r="L31" s="139"/>
      <c r="M31" s="140"/>
    </row>
    <row r="32" spans="1:14" ht="14.1" customHeight="1" x14ac:dyDescent="0.25">
      <c r="A32" s="117">
        <v>1</v>
      </c>
      <c r="B32" s="118"/>
      <c r="C32" s="119"/>
      <c r="D32" s="120">
        <f xml:space="preserve"> 10 + A32 + Modifiers!B5</f>
        <v>11</v>
      </c>
      <c r="E32" s="121"/>
      <c r="F32" s="30"/>
      <c r="G32" s="46"/>
      <c r="H32" s="47"/>
      <c r="I32" s="139"/>
      <c r="J32" s="139"/>
      <c r="K32" s="139"/>
      <c r="L32" s="139"/>
      <c r="M32" s="140"/>
    </row>
    <row r="33" spans="1:14" ht="14.1" customHeight="1" thickBot="1" x14ac:dyDescent="0.3">
      <c r="A33" s="114" t="s">
        <v>30</v>
      </c>
      <c r="B33" s="115"/>
      <c r="C33" s="116"/>
      <c r="D33" s="122"/>
      <c r="E33" s="123"/>
      <c r="F33" s="30"/>
      <c r="G33" s="46"/>
      <c r="H33" s="47"/>
      <c r="I33" s="41"/>
      <c r="J33" s="41"/>
      <c r="K33" s="41"/>
      <c r="L33" s="41"/>
      <c r="M33" s="37"/>
    </row>
    <row r="34" spans="1:14" ht="14.1" customHeight="1" x14ac:dyDescent="0.25">
      <c r="A34" s="117">
        <v>0</v>
      </c>
      <c r="B34" s="118"/>
      <c r="C34" s="119"/>
      <c r="D34" s="120">
        <f xml:space="preserve"> 10 + A34 + Modifiers!B6</f>
        <v>10</v>
      </c>
      <c r="E34" s="121"/>
      <c r="F34" s="30"/>
      <c r="G34" s="46"/>
      <c r="H34" s="47"/>
      <c r="I34" s="41"/>
      <c r="J34" s="41"/>
      <c r="K34" s="41"/>
      <c r="L34" s="41"/>
      <c r="M34" s="37"/>
    </row>
    <row r="35" spans="1:14" ht="14.1" customHeight="1" thickBot="1" x14ac:dyDescent="0.3">
      <c r="A35" s="114" t="s">
        <v>29</v>
      </c>
      <c r="B35" s="115"/>
      <c r="C35" s="116"/>
      <c r="D35" s="122"/>
      <c r="E35" s="123"/>
      <c r="F35" s="30"/>
      <c r="G35" s="46"/>
      <c r="H35" s="47"/>
      <c r="I35" s="41"/>
      <c r="J35" s="41"/>
      <c r="K35" s="41"/>
      <c r="L35" s="41"/>
      <c r="M35" s="37"/>
    </row>
    <row r="36" spans="1:14" ht="14.1" customHeight="1" x14ac:dyDescent="0.25">
      <c r="A36" s="117">
        <v>0</v>
      </c>
      <c r="B36" s="118"/>
      <c r="C36" s="119"/>
      <c r="D36" s="120">
        <f xml:space="preserve"> 10 + A36 + Modifiers!B7</f>
        <v>10</v>
      </c>
      <c r="E36" s="121"/>
      <c r="F36" s="30"/>
      <c r="G36" s="46"/>
      <c r="H36" s="47"/>
      <c r="I36" s="41"/>
      <c r="J36" s="41"/>
      <c r="K36" s="41"/>
      <c r="L36" s="41"/>
      <c r="M36" s="37"/>
    </row>
    <row r="37" spans="1:14" ht="14.1" customHeight="1" thickBot="1" x14ac:dyDescent="0.3">
      <c r="A37" s="114" t="s">
        <v>5</v>
      </c>
      <c r="B37" s="115"/>
      <c r="C37" s="116"/>
      <c r="D37" s="122"/>
      <c r="E37" s="123"/>
      <c r="F37" s="30"/>
      <c r="G37" s="46"/>
      <c r="H37" s="47"/>
      <c r="I37" s="41"/>
      <c r="J37" s="41"/>
      <c r="K37" s="41"/>
      <c r="L37" s="41"/>
      <c r="M37" s="37"/>
    </row>
    <row r="38" spans="1:14" ht="14.1" customHeight="1" x14ac:dyDescent="0.25">
      <c r="A38" s="120">
        <v>1</v>
      </c>
      <c r="B38" s="145"/>
      <c r="C38" s="121"/>
      <c r="D38" s="120">
        <f xml:space="preserve"> 10 + A38 + Modifiers!B8</f>
        <v>11</v>
      </c>
      <c r="E38" s="121"/>
      <c r="F38" s="30"/>
      <c r="G38" s="46"/>
      <c r="H38" s="47"/>
      <c r="I38" s="41"/>
      <c r="J38" s="41"/>
      <c r="K38" s="41"/>
      <c r="L38" s="41"/>
      <c r="M38" s="37"/>
    </row>
    <row r="39" spans="1:14" ht="14.1" customHeight="1" thickBot="1" x14ac:dyDescent="0.3">
      <c r="A39" s="114" t="s">
        <v>33</v>
      </c>
      <c r="B39" s="115"/>
      <c r="C39" s="116"/>
      <c r="D39" s="122"/>
      <c r="E39" s="123"/>
      <c r="F39" s="30"/>
      <c r="G39" s="46"/>
      <c r="H39" s="47"/>
      <c r="I39" s="41"/>
      <c r="J39" s="41"/>
      <c r="K39" s="41"/>
      <c r="L39" s="41"/>
      <c r="M39" s="37"/>
    </row>
    <row r="40" spans="1:14" ht="14.1" customHeight="1" thickBot="1" x14ac:dyDescent="0.3">
      <c r="A40" s="30"/>
      <c r="B40" s="30"/>
      <c r="C40" s="42"/>
      <c r="D40" s="30"/>
      <c r="E40" s="30"/>
      <c r="F40" s="30"/>
      <c r="G40" s="177"/>
      <c r="H40" s="178"/>
      <c r="I40" s="178"/>
      <c r="J40" s="178"/>
      <c r="K40" s="178"/>
      <c r="L40" s="178"/>
      <c r="M40" s="179"/>
    </row>
    <row r="41" spans="1:14" ht="11.25" customHeight="1" thickBot="1" x14ac:dyDescent="0.3">
      <c r="A41" s="165" t="s">
        <v>24</v>
      </c>
      <c r="B41" s="166"/>
      <c r="C41" s="166"/>
      <c r="D41" s="166"/>
      <c r="E41" s="167"/>
      <c r="F41" s="30"/>
      <c r="G41" s="30"/>
      <c r="H41" s="30"/>
      <c r="I41" s="30"/>
      <c r="J41" s="30"/>
      <c r="K41" s="30"/>
      <c r="L41" s="30"/>
      <c r="M41" s="30"/>
    </row>
    <row r="42" spans="1:14" ht="16.5" customHeight="1" thickBot="1" x14ac:dyDescent="0.3">
      <c r="A42" s="113" t="s">
        <v>54</v>
      </c>
      <c r="B42" s="135" t="e" vm="2">
        <v>#VALUE!</v>
      </c>
      <c r="C42" s="159" t="str">
        <f>_xlfn.CONCAT("X ",IF(Modifiers!G3,Modifiers!G3,$E$8 + Modifiers!F3))</f>
        <v>X 1</v>
      </c>
      <c r="D42" s="168" t="s">
        <v>7</v>
      </c>
      <c r="E42" s="163">
        <f>A28</f>
        <v>2</v>
      </c>
      <c r="F42" s="30"/>
      <c r="G42" s="43" t="s">
        <v>17</v>
      </c>
      <c r="H42" s="30"/>
      <c r="I42" s="30"/>
      <c r="J42" s="30"/>
      <c r="K42" s="30"/>
      <c r="L42" s="30"/>
      <c r="M42" s="30"/>
    </row>
    <row r="43" spans="1:14" ht="14.1" customHeight="1" x14ac:dyDescent="0.25">
      <c r="A43" s="113"/>
      <c r="B43" s="135"/>
      <c r="C43" s="159"/>
      <c r="D43" s="161"/>
      <c r="E43" s="163"/>
      <c r="F43" s="30"/>
      <c r="G43" s="50"/>
      <c r="H43" s="51"/>
      <c r="I43" s="51"/>
      <c r="J43" s="51"/>
      <c r="K43" s="51"/>
      <c r="L43" s="51"/>
      <c r="M43" s="52"/>
    </row>
    <row r="44" spans="1:14" ht="14.1" customHeight="1" x14ac:dyDescent="0.25">
      <c r="A44" s="113" t="s">
        <v>28</v>
      </c>
      <c r="B44" s="135" t="e" vm="2">
        <v>#VALUE!</v>
      </c>
      <c r="C44" s="159" t="str">
        <f>_xlfn.CONCAT("X ",IF(Modifiers!G5,Modifiers!G5,$E$8 + Modifiers!F5))</f>
        <v>X 1</v>
      </c>
      <c r="D44" s="161" t="s">
        <v>7</v>
      </c>
      <c r="E44" s="163">
        <f>A30</f>
        <v>2</v>
      </c>
      <c r="F44" s="30"/>
      <c r="G44" s="38"/>
      <c r="H44" s="36"/>
      <c r="I44" s="36"/>
      <c r="J44" s="36"/>
      <c r="K44" s="36"/>
      <c r="L44" s="36"/>
      <c r="M44" s="53"/>
    </row>
    <row r="45" spans="1:14" ht="14.1" customHeight="1" x14ac:dyDescent="0.25">
      <c r="A45" s="113"/>
      <c r="B45" s="135"/>
      <c r="C45" s="159"/>
      <c r="D45" s="161"/>
      <c r="E45" s="163"/>
      <c r="F45" s="30"/>
      <c r="G45" s="38"/>
      <c r="H45" s="36"/>
      <c r="I45" s="36"/>
      <c r="J45" s="36"/>
      <c r="K45" s="36"/>
      <c r="L45" s="36"/>
      <c r="M45" s="53"/>
      <c r="N45" s="30"/>
    </row>
    <row r="46" spans="1:14" ht="14.1" customHeight="1" x14ac:dyDescent="0.25">
      <c r="A46" s="113" t="s">
        <v>5</v>
      </c>
      <c r="B46" s="135" t="e" vm="2">
        <v>#VALUE!</v>
      </c>
      <c r="C46" s="159" t="str">
        <f>_xlfn.CONCAT("X ",IF(Modifiers!G7,Modifiers!G7,$E$8 + Modifiers!F7))</f>
        <v>X 1</v>
      </c>
      <c r="D46" s="161" t="s">
        <v>7</v>
      </c>
      <c r="E46" s="163">
        <f>A36</f>
        <v>0</v>
      </c>
      <c r="F46" s="30"/>
      <c r="G46" s="38"/>
      <c r="H46" s="36"/>
      <c r="I46" s="36"/>
      <c r="J46" s="36"/>
      <c r="K46" s="36"/>
      <c r="L46" s="36"/>
      <c r="M46" s="53"/>
      <c r="N46" s="30"/>
    </row>
    <row r="47" spans="1:14" ht="14.1" customHeight="1" x14ac:dyDescent="0.25">
      <c r="A47" s="113"/>
      <c r="B47" s="135"/>
      <c r="C47" s="159"/>
      <c r="D47" s="161"/>
      <c r="E47" s="163"/>
      <c r="F47" s="30"/>
      <c r="G47" s="86"/>
      <c r="H47" s="87"/>
      <c r="I47" s="87"/>
      <c r="J47" s="87"/>
      <c r="K47" s="87"/>
      <c r="L47" s="87"/>
      <c r="M47" s="88"/>
    </row>
    <row r="48" spans="1:14" ht="14.1" customHeight="1" x14ac:dyDescent="0.25">
      <c r="A48" s="113" t="s">
        <v>33</v>
      </c>
      <c r="B48" s="135" t="e" vm="2">
        <v>#VALUE!</v>
      </c>
      <c r="C48" s="159" t="str">
        <f>_xlfn.CONCAT("X ",IF(Modifiers!G9,Modifiers!G9,$E$8 + Modifiers!F9))</f>
        <v>X 1</v>
      </c>
      <c r="D48" s="161" t="s">
        <v>7</v>
      </c>
      <c r="E48" s="163">
        <f>A38</f>
        <v>1</v>
      </c>
      <c r="F48" s="30"/>
      <c r="G48" s="86"/>
      <c r="H48" s="87"/>
      <c r="I48" s="87"/>
      <c r="J48" s="87"/>
      <c r="K48" s="87"/>
      <c r="L48" s="87"/>
      <c r="M48" s="88"/>
    </row>
    <row r="49" spans="1:13" ht="14.1" customHeight="1" thickBot="1" x14ac:dyDescent="0.3">
      <c r="A49" s="158"/>
      <c r="B49" s="156"/>
      <c r="C49" s="160"/>
      <c r="D49" s="162"/>
      <c r="E49" s="164"/>
      <c r="F49" s="30"/>
      <c r="G49" s="86"/>
      <c r="H49" s="87"/>
      <c r="I49" s="87"/>
      <c r="J49" s="87"/>
      <c r="K49" s="87"/>
      <c r="L49" s="87"/>
      <c r="M49" s="88"/>
    </row>
    <row r="50" spans="1:13" ht="14.1" customHeight="1" thickBot="1" x14ac:dyDescent="0.3">
      <c r="A50" s="30"/>
      <c r="B50" s="30"/>
      <c r="C50" s="30"/>
      <c r="D50" s="30"/>
      <c r="E50" s="30"/>
      <c r="F50" s="30"/>
      <c r="G50" s="46"/>
      <c r="H50" s="47"/>
      <c r="I50" s="41"/>
      <c r="J50" s="41"/>
      <c r="K50" s="41"/>
      <c r="L50" s="41"/>
      <c r="M50" s="37"/>
    </row>
    <row r="51" spans="1:13" ht="14.1" customHeight="1" x14ac:dyDescent="0.25">
      <c r="A51" s="70" t="s">
        <v>87</v>
      </c>
      <c r="B51" s="71"/>
      <c r="C51" s="71"/>
      <c r="D51" s="71"/>
      <c r="E51" s="72"/>
      <c r="F51" s="30"/>
      <c r="G51" s="46"/>
      <c r="H51" s="47"/>
      <c r="I51" s="41"/>
      <c r="J51" s="41"/>
      <c r="K51" s="41"/>
      <c r="L51" s="41"/>
      <c r="M51" s="37"/>
    </row>
    <row r="52" spans="1:13" ht="14.1" customHeight="1" x14ac:dyDescent="0.25">
      <c r="A52" s="74" t="s">
        <v>88</v>
      </c>
      <c r="B52" s="75"/>
      <c r="C52" s="75"/>
      <c r="D52" s="75"/>
      <c r="E52" s="76"/>
      <c r="F52" s="30"/>
      <c r="G52" s="46"/>
      <c r="H52" s="47"/>
      <c r="I52" s="41"/>
      <c r="J52" s="41"/>
      <c r="K52" s="41"/>
      <c r="L52" s="41"/>
      <c r="M52" s="37"/>
    </row>
    <row r="53" spans="1:13" ht="14.1" customHeight="1" thickBot="1" x14ac:dyDescent="0.3">
      <c r="A53" s="175"/>
      <c r="B53" s="176"/>
      <c r="C53" s="154" t="s">
        <v>40</v>
      </c>
      <c r="D53" s="155"/>
      <c r="E53" s="54" t="s">
        <v>73</v>
      </c>
      <c r="F53" s="30"/>
      <c r="G53" s="177"/>
      <c r="H53" s="178"/>
      <c r="I53" s="178"/>
      <c r="J53" s="178"/>
      <c r="K53" s="178"/>
      <c r="L53" s="178"/>
      <c r="M53" s="179"/>
    </row>
    <row r="54" spans="1:13" ht="14.1" customHeight="1" x14ac:dyDescent="0.25">
      <c r="F54" s="30"/>
    </row>
    <row r="55" spans="1:13" ht="15" customHeight="1" x14ac:dyDescent="0.25"/>
  </sheetData>
  <mergeCells count="109">
    <mergeCell ref="G16:I16"/>
    <mergeCell ref="K2:M2"/>
    <mergeCell ref="G10:I10"/>
    <mergeCell ref="A53:B53"/>
    <mergeCell ref="C53:D53"/>
    <mergeCell ref="G40:M40"/>
    <mergeCell ref="B5:D5"/>
    <mergeCell ref="G47:M47"/>
    <mergeCell ref="G48:M48"/>
    <mergeCell ref="G49:M49"/>
    <mergeCell ref="G19:I19"/>
    <mergeCell ref="G17:I17"/>
    <mergeCell ref="G18:I18"/>
    <mergeCell ref="G20:I20"/>
    <mergeCell ref="G21:I21"/>
    <mergeCell ref="G53:M53"/>
    <mergeCell ref="K16:M16"/>
    <mergeCell ref="K17:M17"/>
    <mergeCell ref="K18:M18"/>
    <mergeCell ref="K19:M19"/>
    <mergeCell ref="K20:M20"/>
    <mergeCell ref="I27:M29"/>
    <mergeCell ref="K21:M21"/>
    <mergeCell ref="B46:B47"/>
    <mergeCell ref="B48:B49"/>
    <mergeCell ref="A21:E21"/>
    <mergeCell ref="A31:C31"/>
    <mergeCell ref="A48:A49"/>
    <mergeCell ref="C48:C49"/>
    <mergeCell ref="D48:D49"/>
    <mergeCell ref="E48:E49"/>
    <mergeCell ref="E46:E47"/>
    <mergeCell ref="D46:D47"/>
    <mergeCell ref="C46:C47"/>
    <mergeCell ref="A41:E41"/>
    <mergeCell ref="A46:A47"/>
    <mergeCell ref="C44:C45"/>
    <mergeCell ref="E44:E45"/>
    <mergeCell ref="D44:D45"/>
    <mergeCell ref="C42:C43"/>
    <mergeCell ref="D42:D43"/>
    <mergeCell ref="E42:E43"/>
    <mergeCell ref="A1:E4"/>
    <mergeCell ref="A38:C38"/>
    <mergeCell ref="A39:C39"/>
    <mergeCell ref="A37:C37"/>
    <mergeCell ref="A36:C36"/>
    <mergeCell ref="A35:C35"/>
    <mergeCell ref="A34:C34"/>
    <mergeCell ref="A33:C33"/>
    <mergeCell ref="A32:C32"/>
    <mergeCell ref="A26:C27"/>
    <mergeCell ref="D26:E27"/>
    <mergeCell ref="E18:E19"/>
    <mergeCell ref="D18:D19"/>
    <mergeCell ref="E14:E15"/>
    <mergeCell ref="D32:E33"/>
    <mergeCell ref="D34:E35"/>
    <mergeCell ref="D36:E37"/>
    <mergeCell ref="C12:D12"/>
    <mergeCell ref="C16:D16"/>
    <mergeCell ref="H2:I3"/>
    <mergeCell ref="A12:B12"/>
    <mergeCell ref="A8:D8"/>
    <mergeCell ref="E10:E11"/>
    <mergeCell ref="A42:A43"/>
    <mergeCell ref="A44:A45"/>
    <mergeCell ref="A29:C29"/>
    <mergeCell ref="A30:C30"/>
    <mergeCell ref="D28:E29"/>
    <mergeCell ref="D30:E31"/>
    <mergeCell ref="A23:E23"/>
    <mergeCell ref="A22:E22"/>
    <mergeCell ref="A28:C28"/>
    <mergeCell ref="A25:E25"/>
    <mergeCell ref="D38:E39"/>
    <mergeCell ref="A20:D20"/>
    <mergeCell ref="A16:B16"/>
    <mergeCell ref="B42:B43"/>
    <mergeCell ref="B44:B45"/>
    <mergeCell ref="A11:D11"/>
    <mergeCell ref="A15:D15"/>
    <mergeCell ref="A19:C19"/>
    <mergeCell ref="I30:M32"/>
    <mergeCell ref="A7:D7"/>
    <mergeCell ref="A52:E52"/>
    <mergeCell ref="K12:M12"/>
    <mergeCell ref="K11:M11"/>
    <mergeCell ref="G11:I11"/>
    <mergeCell ref="G12:I12"/>
    <mergeCell ref="G13:I13"/>
    <mergeCell ref="G14:I14"/>
    <mergeCell ref="G15:I15"/>
    <mergeCell ref="H1:I1"/>
    <mergeCell ref="H6:I6"/>
    <mergeCell ref="H7:I7"/>
    <mergeCell ref="H8:I8"/>
    <mergeCell ref="G4:G5"/>
    <mergeCell ref="H4:I5"/>
    <mergeCell ref="G2:G3"/>
    <mergeCell ref="K13:M13"/>
    <mergeCell ref="K14:M14"/>
    <mergeCell ref="K15:M15"/>
    <mergeCell ref="K3:M3"/>
    <mergeCell ref="K6:M6"/>
    <mergeCell ref="K7:M7"/>
    <mergeCell ref="K8:M8"/>
    <mergeCell ref="K9:M9"/>
    <mergeCell ref="K10:M10"/>
  </mergeCells>
  <phoneticPr fontId="4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F8B8-F644-45DE-A35A-1D709A5732D7}">
  <dimension ref="A1:I46"/>
  <sheetViews>
    <sheetView topLeftCell="A9" zoomScale="130" zoomScaleNormal="130" workbookViewId="0">
      <selection activeCell="A16" sqref="A16:I17"/>
    </sheetView>
  </sheetViews>
  <sheetFormatPr baseColWidth="10" defaultRowHeight="15" x14ac:dyDescent="0.25"/>
  <cols>
    <col min="1" max="9" width="10" customWidth="1"/>
  </cols>
  <sheetData>
    <row r="1" spans="1:9" ht="15.75" thickBot="1" x14ac:dyDescent="0.3">
      <c r="A1" s="212" t="s">
        <v>45</v>
      </c>
      <c r="B1" s="213"/>
      <c r="C1" s="213"/>
      <c r="D1" s="214"/>
    </row>
    <row r="2" spans="1:9" ht="15" customHeight="1" x14ac:dyDescent="0.25">
      <c r="A2" s="218" t="s">
        <v>69</v>
      </c>
      <c r="B2" s="219"/>
      <c r="C2" s="219"/>
      <c r="D2" s="219"/>
      <c r="E2" s="219"/>
      <c r="F2" s="219"/>
      <c r="G2" s="219"/>
      <c r="H2" s="219"/>
      <c r="I2" s="220"/>
    </row>
    <row r="3" spans="1:9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6"/>
    </row>
    <row r="4" spans="1:9" x14ac:dyDescent="0.25">
      <c r="A4" s="215"/>
      <c r="B4" s="216"/>
      <c r="C4" s="216"/>
      <c r="D4" s="216"/>
      <c r="E4" s="216"/>
      <c r="F4" s="216"/>
      <c r="G4" s="216"/>
      <c r="H4" s="216"/>
      <c r="I4" s="217"/>
    </row>
    <row r="5" spans="1:9" ht="15" customHeight="1" x14ac:dyDescent="0.25">
      <c r="A5" s="215"/>
      <c r="B5" s="216"/>
      <c r="C5" s="216"/>
      <c r="D5" s="216"/>
      <c r="E5" s="216"/>
      <c r="F5" s="216"/>
      <c r="G5" s="216"/>
      <c r="H5" s="216"/>
      <c r="I5" s="217"/>
    </row>
    <row r="6" spans="1:9" x14ac:dyDescent="0.25">
      <c r="A6" s="215"/>
      <c r="B6" s="216"/>
      <c r="C6" s="216"/>
      <c r="D6" s="216"/>
      <c r="E6" s="216"/>
      <c r="F6" s="216"/>
      <c r="G6" s="216"/>
      <c r="H6" s="216"/>
      <c r="I6" s="217"/>
    </row>
    <row r="7" spans="1:9" ht="15" customHeight="1" thickBot="1" x14ac:dyDescent="0.3">
      <c r="A7" s="197"/>
      <c r="B7" s="198"/>
      <c r="C7" s="198"/>
      <c r="D7" s="198"/>
      <c r="E7" s="198"/>
      <c r="F7" s="198"/>
      <c r="G7" s="198"/>
      <c r="H7" s="198"/>
      <c r="I7" s="199"/>
    </row>
    <row r="8" spans="1:9" ht="15" customHeight="1" x14ac:dyDescent="0.25">
      <c r="A8" s="59" t="s">
        <v>74</v>
      </c>
      <c r="B8" s="56"/>
      <c r="C8" s="56"/>
      <c r="D8" s="56"/>
      <c r="E8" s="56"/>
      <c r="F8" s="56"/>
      <c r="G8" s="56"/>
      <c r="H8" s="56"/>
      <c r="I8" s="57"/>
    </row>
    <row r="9" spans="1:9" ht="15" customHeight="1" x14ac:dyDescent="0.25">
      <c r="A9" s="58" t="s">
        <v>72</v>
      </c>
      <c r="B9" s="67"/>
      <c r="C9" s="67"/>
      <c r="D9" s="67"/>
      <c r="E9" s="67"/>
      <c r="F9" s="67"/>
      <c r="G9" s="67"/>
      <c r="H9" s="67"/>
      <c r="I9" s="68"/>
    </row>
    <row r="10" spans="1:9" ht="15" customHeight="1" x14ac:dyDescent="0.25">
      <c r="A10" s="58" t="s">
        <v>71</v>
      </c>
      <c r="B10" s="67"/>
      <c r="C10" s="67"/>
      <c r="D10" s="67"/>
      <c r="E10" s="67"/>
      <c r="F10" s="67"/>
      <c r="G10" s="67"/>
      <c r="H10" s="67"/>
      <c r="I10" s="68"/>
    </row>
    <row r="11" spans="1:9" x14ac:dyDescent="0.25">
      <c r="A11" s="194"/>
      <c r="B11" s="195"/>
      <c r="C11" s="195"/>
      <c r="D11" s="195"/>
      <c r="E11" s="195"/>
      <c r="F11" s="195"/>
      <c r="G11" s="195"/>
      <c r="H11" s="195"/>
      <c r="I11" s="196"/>
    </row>
    <row r="12" spans="1:9" ht="15" customHeight="1" x14ac:dyDescent="0.25">
      <c r="A12" s="66"/>
      <c r="B12" s="67"/>
      <c r="C12" s="67"/>
      <c r="D12" s="67"/>
      <c r="E12" s="67"/>
      <c r="F12" s="67"/>
      <c r="G12" s="67"/>
      <c r="H12" s="67"/>
      <c r="I12" s="68"/>
    </row>
    <row r="13" spans="1:9" ht="15" customHeight="1" x14ac:dyDescent="0.25">
      <c r="A13" s="209" t="s">
        <v>90</v>
      </c>
      <c r="B13" s="210"/>
      <c r="C13" s="210"/>
      <c r="D13" s="210"/>
      <c r="E13" s="210"/>
      <c r="F13" s="210"/>
      <c r="G13" s="210"/>
      <c r="H13" s="210"/>
      <c r="I13" s="211"/>
    </row>
    <row r="14" spans="1:9" ht="15" customHeight="1" x14ac:dyDescent="0.25">
      <c r="A14" s="206" t="s">
        <v>91</v>
      </c>
      <c r="B14" s="207"/>
      <c r="C14" s="207"/>
      <c r="D14" s="207"/>
      <c r="E14" s="207"/>
      <c r="F14" s="207"/>
      <c r="G14" s="207"/>
      <c r="H14" s="207"/>
      <c r="I14" s="208"/>
    </row>
    <row r="15" spans="1:9" ht="15" customHeight="1" x14ac:dyDescent="0.25">
      <c r="A15" s="209" t="s">
        <v>53</v>
      </c>
      <c r="B15" s="210"/>
      <c r="C15" s="210"/>
      <c r="D15" s="210"/>
      <c r="E15" s="210"/>
      <c r="F15" s="210"/>
      <c r="G15" s="210"/>
      <c r="H15" s="210"/>
      <c r="I15" s="211"/>
    </row>
    <row r="16" spans="1:9" ht="15" customHeight="1" x14ac:dyDescent="0.25">
      <c r="A16" s="206" t="s">
        <v>55</v>
      </c>
      <c r="B16" s="207"/>
      <c r="C16" s="207"/>
      <c r="D16" s="207"/>
      <c r="E16" s="207"/>
      <c r="F16" s="207"/>
      <c r="G16" s="207"/>
      <c r="H16" s="207"/>
      <c r="I16" s="208"/>
    </row>
    <row r="17" spans="1:9" x14ac:dyDescent="0.25">
      <c r="A17" s="206"/>
      <c r="B17" s="207"/>
      <c r="C17" s="207"/>
      <c r="D17" s="207"/>
      <c r="E17" s="207"/>
      <c r="F17" s="207"/>
      <c r="G17" s="207"/>
      <c r="H17" s="207"/>
      <c r="I17" s="208"/>
    </row>
    <row r="18" spans="1:9" ht="15" customHeight="1" x14ac:dyDescent="0.25">
      <c r="A18" s="209" t="s">
        <v>67</v>
      </c>
      <c r="B18" s="210"/>
      <c r="C18" s="210"/>
      <c r="D18" s="210"/>
      <c r="E18" s="210"/>
      <c r="F18" s="210"/>
      <c r="G18" s="210"/>
      <c r="H18" s="210"/>
      <c r="I18" s="211"/>
    </row>
    <row r="19" spans="1:9" ht="15" customHeight="1" x14ac:dyDescent="0.25">
      <c r="A19" s="206" t="s">
        <v>93</v>
      </c>
      <c r="B19" s="207"/>
      <c r="C19" s="207"/>
      <c r="D19" s="207"/>
      <c r="E19" s="207"/>
      <c r="F19" s="207"/>
      <c r="G19" s="207"/>
      <c r="H19" s="207"/>
      <c r="I19" s="208"/>
    </row>
    <row r="20" spans="1:9" ht="15" customHeight="1" x14ac:dyDescent="0.25">
      <c r="A20" s="209" t="s">
        <v>68</v>
      </c>
      <c r="B20" s="210"/>
      <c r="C20" s="210"/>
      <c r="D20" s="210"/>
      <c r="E20" s="210"/>
      <c r="F20" s="210"/>
      <c r="G20" s="210"/>
      <c r="H20" s="210"/>
      <c r="I20" s="211"/>
    </row>
    <row r="21" spans="1:9" ht="15" customHeight="1" x14ac:dyDescent="0.25">
      <c r="A21" s="203" t="s">
        <v>56</v>
      </c>
      <c r="B21" s="204"/>
      <c r="C21" s="204"/>
      <c r="D21" s="204"/>
      <c r="E21" s="204"/>
      <c r="F21" s="204"/>
      <c r="G21" s="204"/>
      <c r="H21" s="204"/>
      <c r="I21" s="205"/>
    </row>
    <row r="22" spans="1:9" ht="15" customHeight="1" x14ac:dyDescent="0.25">
      <c r="A22" s="203"/>
      <c r="B22" s="204"/>
      <c r="C22" s="204"/>
      <c r="D22" s="204"/>
      <c r="E22" s="204"/>
      <c r="F22" s="204"/>
      <c r="G22" s="204"/>
      <c r="H22" s="204"/>
      <c r="I22" s="205"/>
    </row>
    <row r="23" spans="1:9" x14ac:dyDescent="0.25">
      <c r="A23" s="203"/>
      <c r="B23" s="204"/>
      <c r="C23" s="204"/>
      <c r="D23" s="204"/>
      <c r="E23" s="204"/>
      <c r="F23" s="204"/>
      <c r="G23" s="204"/>
      <c r="H23" s="204"/>
      <c r="I23" s="205"/>
    </row>
    <row r="24" spans="1:9" x14ac:dyDescent="0.25">
      <c r="A24" s="194"/>
      <c r="B24" s="195"/>
      <c r="C24" s="195"/>
      <c r="D24" s="195"/>
      <c r="E24" s="195"/>
      <c r="F24" s="195"/>
      <c r="G24" s="195"/>
      <c r="H24" s="195"/>
      <c r="I24" s="196"/>
    </row>
    <row r="25" spans="1:9" x14ac:dyDescent="0.25">
      <c r="A25" s="194"/>
      <c r="B25" s="195"/>
      <c r="C25" s="195"/>
      <c r="D25" s="195"/>
      <c r="E25" s="195"/>
      <c r="F25" s="195"/>
      <c r="G25" s="195"/>
      <c r="H25" s="195"/>
      <c r="I25" s="196"/>
    </row>
    <row r="26" spans="1:9" ht="15" customHeight="1" x14ac:dyDescent="0.25">
      <c r="A26" s="194"/>
      <c r="B26" s="195"/>
      <c r="C26" s="195"/>
      <c r="D26" s="195"/>
      <c r="E26" s="195"/>
      <c r="F26" s="195"/>
      <c r="G26" s="195"/>
      <c r="H26" s="195"/>
      <c r="I26" s="196"/>
    </row>
    <row r="27" spans="1:9" x14ac:dyDescent="0.25">
      <c r="A27" s="194"/>
      <c r="B27" s="195"/>
      <c r="C27" s="195"/>
      <c r="D27" s="195"/>
      <c r="E27" s="195"/>
      <c r="F27" s="195"/>
      <c r="G27" s="195"/>
      <c r="H27" s="195"/>
      <c r="I27" s="196"/>
    </row>
    <row r="28" spans="1:9" ht="15" customHeight="1" x14ac:dyDescent="0.25">
      <c r="A28" s="194"/>
      <c r="B28" s="195"/>
      <c r="C28" s="195"/>
      <c r="D28" s="195"/>
      <c r="E28" s="195"/>
      <c r="F28" s="195"/>
      <c r="G28" s="195"/>
      <c r="H28" s="195"/>
      <c r="I28" s="196"/>
    </row>
    <row r="29" spans="1:9" ht="15" customHeight="1" x14ac:dyDescent="0.25">
      <c r="A29" s="194"/>
      <c r="B29" s="195"/>
      <c r="C29" s="195"/>
      <c r="D29" s="195"/>
      <c r="E29" s="195"/>
      <c r="F29" s="195"/>
      <c r="G29" s="195"/>
      <c r="H29" s="195"/>
      <c r="I29" s="196"/>
    </row>
    <row r="30" spans="1:9" x14ac:dyDescent="0.25">
      <c r="A30" s="194"/>
      <c r="B30" s="195"/>
      <c r="C30" s="195"/>
      <c r="D30" s="195"/>
      <c r="E30" s="195"/>
      <c r="F30" s="195"/>
      <c r="G30" s="195"/>
      <c r="H30" s="195"/>
      <c r="I30" s="196"/>
    </row>
    <row r="31" spans="1:9" x14ac:dyDescent="0.25">
      <c r="A31" s="194"/>
      <c r="B31" s="195"/>
      <c r="C31" s="195"/>
      <c r="D31" s="195"/>
      <c r="E31" s="195"/>
      <c r="F31" s="195"/>
      <c r="G31" s="195"/>
      <c r="H31" s="195"/>
      <c r="I31" s="196"/>
    </row>
    <row r="32" spans="1:9" x14ac:dyDescent="0.25">
      <c r="A32" s="194"/>
      <c r="B32" s="195"/>
      <c r="C32" s="195"/>
      <c r="D32" s="195"/>
      <c r="E32" s="195"/>
      <c r="F32" s="195"/>
      <c r="G32" s="195"/>
      <c r="H32" s="195"/>
      <c r="I32" s="196"/>
    </row>
    <row r="33" spans="1:9" x14ac:dyDescent="0.25">
      <c r="A33" s="194"/>
      <c r="B33" s="195"/>
      <c r="C33" s="195"/>
      <c r="D33" s="195"/>
      <c r="E33" s="195"/>
      <c r="F33" s="195"/>
      <c r="G33" s="195"/>
      <c r="H33" s="195"/>
      <c r="I33" s="196"/>
    </row>
    <row r="34" spans="1:9" x14ac:dyDescent="0.25">
      <c r="A34" s="194"/>
      <c r="B34" s="195"/>
      <c r="C34" s="195"/>
      <c r="D34" s="195"/>
      <c r="E34" s="195"/>
      <c r="F34" s="195"/>
      <c r="G34" s="195"/>
      <c r="H34" s="195"/>
      <c r="I34" s="196"/>
    </row>
    <row r="35" spans="1:9" x14ac:dyDescent="0.25">
      <c r="A35" s="194"/>
      <c r="B35" s="195"/>
      <c r="C35" s="195"/>
      <c r="D35" s="195"/>
      <c r="E35" s="195"/>
      <c r="F35" s="195"/>
      <c r="G35" s="195"/>
      <c r="H35" s="195"/>
      <c r="I35" s="196"/>
    </row>
    <row r="36" spans="1:9" x14ac:dyDescent="0.25">
      <c r="A36" s="194"/>
      <c r="B36" s="195"/>
      <c r="C36" s="195"/>
      <c r="D36" s="195"/>
      <c r="E36" s="195"/>
      <c r="F36" s="195"/>
      <c r="G36" s="195"/>
      <c r="H36" s="195"/>
      <c r="I36" s="196"/>
    </row>
    <row r="37" spans="1:9" x14ac:dyDescent="0.25">
      <c r="A37" s="194"/>
      <c r="B37" s="195"/>
      <c r="C37" s="195"/>
      <c r="D37" s="195"/>
      <c r="E37" s="195"/>
      <c r="F37" s="195"/>
      <c r="G37" s="195"/>
      <c r="H37" s="195"/>
      <c r="I37" s="196"/>
    </row>
    <row r="38" spans="1:9" x14ac:dyDescent="0.25">
      <c r="A38" s="194"/>
      <c r="B38" s="195"/>
      <c r="C38" s="195"/>
      <c r="D38" s="195"/>
      <c r="E38" s="195"/>
      <c r="F38" s="195"/>
      <c r="G38" s="195"/>
      <c r="H38" s="195"/>
      <c r="I38" s="196"/>
    </row>
    <row r="39" spans="1:9" x14ac:dyDescent="0.25">
      <c r="A39" s="194"/>
      <c r="B39" s="195"/>
      <c r="C39" s="195"/>
      <c r="D39" s="195"/>
      <c r="E39" s="195"/>
      <c r="F39" s="195"/>
      <c r="G39" s="195"/>
      <c r="H39" s="195"/>
      <c r="I39" s="196"/>
    </row>
    <row r="40" spans="1:9" x14ac:dyDescent="0.25">
      <c r="A40" s="194"/>
      <c r="B40" s="195"/>
      <c r="C40" s="195"/>
      <c r="D40" s="195"/>
      <c r="E40" s="195"/>
      <c r="F40" s="195"/>
      <c r="G40" s="195"/>
      <c r="H40" s="195"/>
      <c r="I40" s="196"/>
    </row>
    <row r="41" spans="1:9" x14ac:dyDescent="0.25">
      <c r="A41" s="194"/>
      <c r="B41" s="195"/>
      <c r="C41" s="195"/>
      <c r="D41" s="195"/>
      <c r="E41" s="195"/>
      <c r="F41" s="195"/>
      <c r="G41" s="195"/>
      <c r="H41" s="195"/>
      <c r="I41" s="196"/>
    </row>
    <row r="42" spans="1:9" x14ac:dyDescent="0.25">
      <c r="A42" s="194"/>
      <c r="B42" s="195"/>
      <c r="C42" s="195"/>
      <c r="D42" s="195"/>
      <c r="E42" s="195"/>
      <c r="F42" s="195"/>
      <c r="G42" s="195"/>
      <c r="H42" s="195"/>
      <c r="I42" s="196"/>
    </row>
    <row r="43" spans="1:9" x14ac:dyDescent="0.25">
      <c r="A43" s="194"/>
      <c r="B43" s="195"/>
      <c r="C43" s="195"/>
      <c r="D43" s="195"/>
      <c r="E43" s="195"/>
      <c r="F43" s="195"/>
      <c r="G43" s="195"/>
      <c r="H43" s="195"/>
      <c r="I43" s="196"/>
    </row>
    <row r="44" spans="1:9" x14ac:dyDescent="0.25">
      <c r="A44" s="194"/>
      <c r="B44" s="195"/>
      <c r="C44" s="195"/>
      <c r="D44" s="195"/>
      <c r="E44" s="195"/>
      <c r="F44" s="195"/>
      <c r="G44" s="195"/>
      <c r="H44" s="195"/>
      <c r="I44" s="196"/>
    </row>
    <row r="45" spans="1:9" x14ac:dyDescent="0.25">
      <c r="A45" s="194"/>
      <c r="B45" s="195"/>
      <c r="C45" s="195"/>
      <c r="D45" s="195"/>
      <c r="E45" s="195"/>
      <c r="F45" s="195"/>
      <c r="G45" s="195"/>
      <c r="H45" s="195"/>
      <c r="I45" s="196"/>
    </row>
    <row r="46" spans="1:9" ht="15.75" thickBot="1" x14ac:dyDescent="0.3">
      <c r="A46" s="200"/>
      <c r="B46" s="201"/>
      <c r="C46" s="201"/>
      <c r="D46" s="201"/>
      <c r="E46" s="201"/>
      <c r="F46" s="201"/>
      <c r="G46" s="201"/>
      <c r="H46" s="201"/>
      <c r="I46" s="202"/>
    </row>
  </sheetData>
  <mergeCells count="39">
    <mergeCell ref="A1:D1"/>
    <mergeCell ref="A4:I4"/>
    <mergeCell ref="A2:I2"/>
    <mergeCell ref="A3:I3"/>
    <mergeCell ref="A6:I6"/>
    <mergeCell ref="A5:I5"/>
    <mergeCell ref="A21:I23"/>
    <mergeCell ref="A16:I17"/>
    <mergeCell ref="A19:I19"/>
    <mergeCell ref="A11:I11"/>
    <mergeCell ref="A13:I13"/>
    <mergeCell ref="A14:I14"/>
    <mergeCell ref="A18:I18"/>
    <mergeCell ref="A20:I20"/>
    <mergeCell ref="A15:I15"/>
    <mergeCell ref="A7:I7"/>
    <mergeCell ref="A38:I38"/>
    <mergeCell ref="A39:I39"/>
    <mergeCell ref="A40:I40"/>
    <mergeCell ref="A46:I46"/>
    <mergeCell ref="A41:I41"/>
    <mergeCell ref="A42:I42"/>
    <mergeCell ref="A43:I43"/>
    <mergeCell ref="A44:I44"/>
    <mergeCell ref="A45:I45"/>
    <mergeCell ref="A24:I24"/>
    <mergeCell ref="A31:I31"/>
    <mergeCell ref="A32:I32"/>
    <mergeCell ref="A36:I36"/>
    <mergeCell ref="A37:I37"/>
    <mergeCell ref="A35:I35"/>
    <mergeCell ref="A34:I34"/>
    <mergeCell ref="A30:I30"/>
    <mergeCell ref="A25:I25"/>
    <mergeCell ref="A26:I26"/>
    <mergeCell ref="A27:I27"/>
    <mergeCell ref="A29:I29"/>
    <mergeCell ref="A28:I28"/>
    <mergeCell ref="A33:I33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2ED7-B55C-4544-B1B9-4049608F227A}">
  <dimension ref="A1:L29"/>
  <sheetViews>
    <sheetView tabSelected="1" topLeftCell="A19" zoomScale="130" zoomScaleNormal="130" workbookViewId="0">
      <selection activeCell="A24" sqref="A24:I24"/>
    </sheetView>
  </sheetViews>
  <sheetFormatPr baseColWidth="10" defaultRowHeight="15" x14ac:dyDescent="0.25"/>
  <cols>
    <col min="1" max="9" width="10" customWidth="1"/>
  </cols>
  <sheetData>
    <row r="1" spans="1:9" ht="16.5" thickBot="1" x14ac:dyDescent="0.3">
      <c r="A1" s="221" t="s">
        <v>61</v>
      </c>
      <c r="B1" s="222"/>
      <c r="C1" s="222"/>
      <c r="D1" s="223"/>
      <c r="E1" s="236" t="s">
        <v>92</v>
      </c>
      <c r="F1" s="237"/>
    </row>
    <row r="2" spans="1:9" x14ac:dyDescent="0.25">
      <c r="A2" s="218" t="s">
        <v>42</v>
      </c>
      <c r="B2" s="219"/>
      <c r="C2" s="219"/>
      <c r="D2" s="219"/>
      <c r="E2" s="219"/>
      <c r="F2" s="219"/>
      <c r="G2" s="219"/>
      <c r="H2" s="219"/>
      <c r="I2" s="220"/>
    </row>
    <row r="3" spans="1:9" x14ac:dyDescent="0.25">
      <c r="A3" s="224" t="s">
        <v>57</v>
      </c>
      <c r="B3" s="225"/>
      <c r="C3" s="225"/>
      <c r="D3" s="225"/>
      <c r="E3" s="225"/>
      <c r="F3" s="225"/>
      <c r="G3" s="225"/>
      <c r="H3" s="225"/>
      <c r="I3" s="226"/>
    </row>
    <row r="4" spans="1:9" x14ac:dyDescent="0.25">
      <c r="A4" s="209" t="s">
        <v>18</v>
      </c>
      <c r="B4" s="210"/>
      <c r="C4" s="210"/>
      <c r="D4" s="210"/>
      <c r="E4" s="210"/>
      <c r="F4" s="210"/>
      <c r="G4" s="210"/>
      <c r="H4" s="210"/>
      <c r="I4" s="211"/>
    </row>
    <row r="5" spans="1:9" x14ac:dyDescent="0.25">
      <c r="A5" s="60" t="s">
        <v>81</v>
      </c>
      <c r="B5" s="61"/>
      <c r="C5" s="61"/>
      <c r="D5" s="61"/>
      <c r="E5" s="61"/>
      <c r="F5" s="61"/>
      <c r="G5" s="61"/>
      <c r="H5" s="61"/>
      <c r="I5" s="62"/>
    </row>
    <row r="6" spans="1:9" ht="15" customHeight="1" thickBot="1" x14ac:dyDescent="0.3">
      <c r="A6" s="60" t="s">
        <v>58</v>
      </c>
      <c r="B6" s="61"/>
      <c r="C6" s="61"/>
      <c r="D6" s="61"/>
      <c r="E6" s="61"/>
      <c r="F6" s="61"/>
      <c r="G6" s="61"/>
      <c r="H6" s="61"/>
      <c r="I6" s="62"/>
    </row>
    <row r="7" spans="1:9" ht="15" customHeight="1" x14ac:dyDescent="0.25">
      <c r="A7" s="64" t="s">
        <v>94</v>
      </c>
      <c r="B7" s="56"/>
      <c r="C7" s="56"/>
      <c r="D7" s="56"/>
      <c r="E7" s="63"/>
      <c r="F7" s="56"/>
      <c r="G7" s="56"/>
      <c r="H7" s="56"/>
      <c r="I7" s="57"/>
    </row>
    <row r="8" spans="1:9" ht="15" customHeight="1" x14ac:dyDescent="0.25">
      <c r="A8" s="206" t="s">
        <v>95</v>
      </c>
      <c r="B8" s="207"/>
      <c r="C8" s="207"/>
      <c r="D8" s="207"/>
      <c r="E8" s="207"/>
      <c r="F8" s="207"/>
      <c r="G8" s="207"/>
      <c r="H8" s="207"/>
      <c r="I8" s="208"/>
    </row>
    <row r="9" spans="1:9" x14ac:dyDescent="0.25">
      <c r="A9" s="206"/>
      <c r="B9" s="207"/>
      <c r="C9" s="207"/>
      <c r="D9" s="207"/>
      <c r="E9" s="207"/>
      <c r="F9" s="207"/>
      <c r="G9" s="207"/>
      <c r="H9" s="207"/>
      <c r="I9" s="208"/>
    </row>
    <row r="10" spans="1:9" ht="15" customHeight="1" x14ac:dyDescent="0.25">
      <c r="A10" s="230" t="s">
        <v>98</v>
      </c>
      <c r="B10" s="231"/>
      <c r="C10" s="231"/>
      <c r="D10" s="231"/>
      <c r="E10" s="231"/>
      <c r="F10" s="231"/>
      <c r="G10" s="231"/>
      <c r="H10" s="231"/>
      <c r="I10" s="232"/>
    </row>
    <row r="11" spans="1:9" ht="15" customHeight="1" x14ac:dyDescent="0.25">
      <c r="A11" s="227" t="s">
        <v>96</v>
      </c>
      <c r="B11" s="228"/>
      <c r="C11" s="228"/>
      <c r="D11" s="228"/>
      <c r="E11" s="228"/>
      <c r="F11" s="228"/>
      <c r="G11" s="228"/>
      <c r="H11" s="228"/>
      <c r="I11" s="229"/>
    </row>
    <row r="12" spans="1:9" ht="15" customHeight="1" x14ac:dyDescent="0.25">
      <c r="A12" s="233" t="s">
        <v>77</v>
      </c>
      <c r="B12" s="234"/>
      <c r="C12" s="234"/>
      <c r="D12" s="234"/>
      <c r="E12" s="234"/>
      <c r="F12" s="234"/>
      <c r="G12" s="234"/>
      <c r="H12" s="234"/>
      <c r="I12" s="235"/>
    </row>
    <row r="13" spans="1:9" ht="15" customHeight="1" x14ac:dyDescent="0.25">
      <c r="A13" s="227" t="s">
        <v>76</v>
      </c>
      <c r="B13" s="228"/>
      <c r="C13" s="228"/>
      <c r="D13" s="228"/>
      <c r="E13" s="228"/>
      <c r="F13" s="228"/>
      <c r="G13" s="228"/>
      <c r="H13" s="228"/>
      <c r="I13" s="229"/>
    </row>
    <row r="14" spans="1:9" ht="15" customHeight="1" thickBot="1" x14ac:dyDescent="0.3"/>
    <row r="15" spans="1:9" ht="15" customHeight="1" thickBot="1" x14ac:dyDescent="0.3">
      <c r="A15" s="221" t="s">
        <v>62</v>
      </c>
      <c r="B15" s="222"/>
      <c r="C15" s="222"/>
      <c r="D15" s="223"/>
      <c r="E15" s="236" t="s">
        <v>92</v>
      </c>
      <c r="F15" s="237"/>
    </row>
    <row r="16" spans="1:9" ht="15" customHeight="1" x14ac:dyDescent="0.25">
      <c r="A16" s="218" t="s">
        <v>42</v>
      </c>
      <c r="B16" s="219"/>
      <c r="C16" s="219"/>
      <c r="D16" s="219"/>
      <c r="E16" s="219"/>
      <c r="F16" s="219"/>
      <c r="G16" s="219"/>
      <c r="H16" s="219"/>
      <c r="I16" s="220"/>
    </row>
    <row r="17" spans="1:12" x14ac:dyDescent="0.25">
      <c r="A17" s="224" t="s">
        <v>43</v>
      </c>
      <c r="B17" s="225"/>
      <c r="C17" s="225"/>
      <c r="D17" s="225"/>
      <c r="E17" s="225"/>
      <c r="F17" s="225"/>
      <c r="G17" s="225"/>
      <c r="H17" s="225"/>
      <c r="I17" s="226"/>
      <c r="L17" s="69"/>
    </row>
    <row r="18" spans="1:12" x14ac:dyDescent="0.25">
      <c r="A18" s="209" t="s">
        <v>18</v>
      </c>
      <c r="B18" s="210"/>
      <c r="C18" s="210"/>
      <c r="D18" s="210"/>
      <c r="E18" s="210"/>
      <c r="F18" s="210"/>
      <c r="G18" s="210"/>
      <c r="H18" s="210"/>
      <c r="I18" s="211"/>
    </row>
    <row r="19" spans="1:12" x14ac:dyDescent="0.25">
      <c r="A19" s="60" t="s">
        <v>78</v>
      </c>
      <c r="B19" s="61"/>
      <c r="C19" s="61"/>
      <c r="D19" s="61"/>
      <c r="E19" s="61"/>
      <c r="F19" s="61"/>
      <c r="G19" s="61"/>
      <c r="H19" s="61"/>
      <c r="I19" s="62"/>
    </row>
    <row r="20" spans="1:12" x14ac:dyDescent="0.25">
      <c r="A20" s="60" t="s">
        <v>63</v>
      </c>
      <c r="B20" s="61"/>
      <c r="C20" s="61"/>
      <c r="D20" s="61"/>
      <c r="E20" s="61"/>
      <c r="F20" s="61"/>
      <c r="G20" s="61"/>
      <c r="H20" s="61"/>
      <c r="I20" s="62"/>
    </row>
    <row r="21" spans="1:12" x14ac:dyDescent="0.25">
      <c r="A21" s="230" t="s">
        <v>79</v>
      </c>
      <c r="B21" s="231"/>
      <c r="C21" s="231"/>
      <c r="D21" s="231"/>
      <c r="E21" s="231"/>
      <c r="F21" s="231"/>
      <c r="G21" s="231"/>
      <c r="H21" s="231"/>
      <c r="I21" s="232"/>
    </row>
    <row r="22" spans="1:12" x14ac:dyDescent="0.25">
      <c r="A22" s="227" t="s">
        <v>80</v>
      </c>
      <c r="B22" s="228"/>
      <c r="C22" s="228"/>
      <c r="D22" s="228"/>
      <c r="E22" s="228"/>
      <c r="F22" s="228"/>
      <c r="G22" s="228"/>
      <c r="H22" s="228"/>
      <c r="I22" s="229"/>
    </row>
    <row r="23" spans="1:12" ht="15" customHeight="1" x14ac:dyDescent="0.25">
      <c r="A23" s="230" t="s">
        <v>59</v>
      </c>
      <c r="B23" s="231"/>
      <c r="C23" s="231"/>
      <c r="D23" s="231"/>
      <c r="E23" s="231"/>
      <c r="F23" s="231"/>
      <c r="G23" s="231"/>
      <c r="H23" s="231"/>
      <c r="I23" s="232"/>
    </row>
    <row r="24" spans="1:12" x14ac:dyDescent="0.25">
      <c r="A24" s="206" t="s">
        <v>99</v>
      </c>
      <c r="B24" s="207"/>
      <c r="C24" s="207"/>
      <c r="D24" s="207"/>
      <c r="E24" s="207"/>
      <c r="F24" s="207"/>
      <c r="G24" s="207"/>
      <c r="H24" s="207"/>
      <c r="I24" s="208"/>
    </row>
    <row r="25" spans="1:12" ht="15" customHeight="1" x14ac:dyDescent="0.25">
      <c r="A25" s="230" t="s">
        <v>97</v>
      </c>
      <c r="B25" s="231"/>
      <c r="C25" s="231"/>
      <c r="D25" s="231"/>
      <c r="E25" s="231"/>
      <c r="F25" s="231"/>
      <c r="G25" s="231"/>
      <c r="H25" s="231"/>
      <c r="I25" s="232"/>
    </row>
    <row r="26" spans="1:12" ht="15" customHeight="1" x14ac:dyDescent="0.25">
      <c r="A26" s="206" t="s">
        <v>60</v>
      </c>
      <c r="B26" s="207"/>
      <c r="C26" s="207"/>
      <c r="D26" s="207"/>
      <c r="E26" s="207"/>
      <c r="F26" s="207"/>
      <c r="G26" s="207"/>
      <c r="H26" s="207"/>
      <c r="I26" s="208"/>
    </row>
    <row r="27" spans="1:12" ht="15" customHeight="1" x14ac:dyDescent="0.25">
      <c r="A27" s="227"/>
      <c r="B27" s="228"/>
      <c r="C27" s="228"/>
      <c r="D27" s="228"/>
      <c r="E27" s="228"/>
      <c r="F27" s="228"/>
      <c r="G27" s="228"/>
      <c r="H27" s="228"/>
      <c r="I27" s="229"/>
    </row>
    <row r="28" spans="1:12" ht="15" customHeight="1" x14ac:dyDescent="0.25"/>
    <row r="29" spans="1:12" ht="15" customHeight="1" x14ac:dyDescent="0.25"/>
  </sheetData>
  <mergeCells count="21">
    <mergeCell ref="A25:I25"/>
    <mergeCell ref="A26:I27"/>
    <mergeCell ref="A18:I18"/>
    <mergeCell ref="A8:I9"/>
    <mergeCell ref="A21:I21"/>
    <mergeCell ref="A22:I22"/>
    <mergeCell ref="A24:I24"/>
    <mergeCell ref="A16:I16"/>
    <mergeCell ref="A17:I17"/>
    <mergeCell ref="A23:I23"/>
    <mergeCell ref="E15:F15"/>
    <mergeCell ref="A1:D1"/>
    <mergeCell ref="A2:I2"/>
    <mergeCell ref="A3:I3"/>
    <mergeCell ref="A4:I4"/>
    <mergeCell ref="A15:D15"/>
    <mergeCell ref="A13:I13"/>
    <mergeCell ref="A10:I10"/>
    <mergeCell ref="A11:I11"/>
    <mergeCell ref="A12:I12"/>
    <mergeCell ref="E1:F1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263-14D8-4D9D-9F1C-38D517351AAE}">
  <dimension ref="A1:O8"/>
  <sheetViews>
    <sheetView workbookViewId="0">
      <selection activeCell="E19" sqref="E19"/>
    </sheetView>
  </sheetViews>
  <sheetFormatPr baseColWidth="10" defaultRowHeight="15" x14ac:dyDescent="0.25"/>
  <cols>
    <col min="1" max="1" width="10" customWidth="1"/>
    <col min="2" max="2" width="6.7109375" customWidth="1"/>
    <col min="3" max="3" width="9.42578125" customWidth="1"/>
    <col min="4" max="4" width="4.28515625" customWidth="1"/>
    <col min="5" max="5" width="8" customWidth="1"/>
    <col min="6" max="6" width="9.28515625" customWidth="1"/>
    <col min="7" max="7" width="10.85546875" customWidth="1"/>
    <col min="8" max="8" width="8.85546875" customWidth="1"/>
    <col min="9" max="9" width="9.7109375" customWidth="1"/>
    <col min="10" max="11" width="8.140625" customWidth="1"/>
    <col min="12" max="12" width="4.7109375" customWidth="1"/>
    <col min="13" max="14" width="9.42578125" customWidth="1"/>
    <col min="15" max="15" width="11.7109375" customWidth="1"/>
    <col min="16" max="16" width="9.7109375" customWidth="1"/>
    <col min="18" max="18" width="12.42578125" customWidth="1"/>
  </cols>
  <sheetData>
    <row r="1" spans="1:15" ht="15" customHeight="1" thickBot="1" x14ac:dyDescent="0.3">
      <c r="A1" s="239" t="s">
        <v>0</v>
      </c>
      <c r="B1" s="240"/>
      <c r="C1" s="241"/>
      <c r="E1" s="239" t="s">
        <v>9</v>
      </c>
      <c r="F1" s="240"/>
      <c r="G1" s="241"/>
      <c r="H1" s="238"/>
      <c r="I1" s="238"/>
      <c r="J1" s="1"/>
    </row>
    <row r="2" spans="1:15" ht="15" customHeight="1" thickBot="1" x14ac:dyDescent="0.3">
      <c r="A2" s="19"/>
      <c r="B2" s="21" t="s">
        <v>10</v>
      </c>
      <c r="C2" s="21" t="s">
        <v>11</v>
      </c>
      <c r="E2" s="19"/>
      <c r="F2" s="21" t="s">
        <v>10</v>
      </c>
      <c r="G2" s="20" t="s">
        <v>11</v>
      </c>
      <c r="H2" s="1"/>
      <c r="I2" s="1"/>
      <c r="J2" s="1"/>
    </row>
    <row r="3" spans="1:15" ht="15" customHeight="1" thickBot="1" x14ac:dyDescent="0.3">
      <c r="A3" s="6" t="s">
        <v>1</v>
      </c>
      <c r="B3" s="7">
        <v>0</v>
      </c>
      <c r="C3" s="8">
        <v>0</v>
      </c>
      <c r="E3" s="23" t="s">
        <v>1</v>
      </c>
      <c r="F3" s="5">
        <v>0</v>
      </c>
      <c r="G3" s="12">
        <v>0</v>
      </c>
      <c r="N3" s="243" t="s">
        <v>10</v>
      </c>
      <c r="O3" s="241" t="s">
        <v>15</v>
      </c>
    </row>
    <row r="4" spans="1:15" ht="15" customHeight="1" thickBot="1" x14ac:dyDescent="0.3">
      <c r="A4" s="6" t="s">
        <v>2</v>
      </c>
      <c r="B4" s="7">
        <v>0</v>
      </c>
      <c r="C4" s="8">
        <v>0</v>
      </c>
      <c r="E4" s="10" t="s">
        <v>2</v>
      </c>
      <c r="F4" s="11">
        <v>0</v>
      </c>
      <c r="G4" s="8">
        <v>0</v>
      </c>
      <c r="M4" s="27"/>
      <c r="N4" s="244"/>
      <c r="O4" s="242"/>
    </row>
    <row r="5" spans="1:15" ht="15" customHeight="1" thickBot="1" x14ac:dyDescent="0.3">
      <c r="A5" s="6" t="s">
        <v>3</v>
      </c>
      <c r="B5" s="7">
        <v>0</v>
      </c>
      <c r="C5" s="8">
        <v>0</v>
      </c>
      <c r="E5" s="17"/>
      <c r="F5" s="22"/>
      <c r="G5" s="18"/>
      <c r="J5" s="21" t="s">
        <v>10</v>
      </c>
      <c r="K5" s="21" t="s">
        <v>16</v>
      </c>
      <c r="M5" s="2" t="s">
        <v>13</v>
      </c>
      <c r="N5" s="28">
        <v>0</v>
      </c>
      <c r="O5" s="29">
        <v>0</v>
      </c>
    </row>
    <row r="6" spans="1:15" ht="15" customHeight="1" thickBot="1" x14ac:dyDescent="0.3">
      <c r="A6" s="14" t="s">
        <v>4</v>
      </c>
      <c r="B6" s="15">
        <v>0</v>
      </c>
      <c r="C6" s="12">
        <v>0</v>
      </c>
      <c r="E6" s="17"/>
      <c r="F6" s="22"/>
      <c r="G6" s="18"/>
      <c r="I6" s="2" t="s">
        <v>8</v>
      </c>
      <c r="J6" s="26">
        <v>0</v>
      </c>
      <c r="K6" s="4" t="s">
        <v>12</v>
      </c>
      <c r="M6" s="2" t="s">
        <v>14</v>
      </c>
      <c r="N6" s="26">
        <v>0</v>
      </c>
      <c r="O6" s="3">
        <v>0</v>
      </c>
    </row>
    <row r="7" spans="1:15" ht="15" customHeight="1" thickBot="1" x14ac:dyDescent="0.3">
      <c r="A7" s="10" t="s">
        <v>5</v>
      </c>
      <c r="B7" s="11">
        <v>0</v>
      </c>
      <c r="C7" s="8">
        <v>0</v>
      </c>
      <c r="E7" s="10" t="s">
        <v>5</v>
      </c>
      <c r="F7" s="11">
        <v>0</v>
      </c>
      <c r="G7" s="8">
        <v>0</v>
      </c>
    </row>
    <row r="8" spans="1:15" ht="15" customHeight="1" thickBot="1" x14ac:dyDescent="0.3">
      <c r="A8" s="9" t="s">
        <v>6</v>
      </c>
      <c r="B8" s="16">
        <v>0</v>
      </c>
      <c r="C8" s="13">
        <v>0</v>
      </c>
      <c r="E8" s="24" t="s">
        <v>6</v>
      </c>
      <c r="F8" s="25">
        <v>0</v>
      </c>
      <c r="G8" s="13">
        <v>0</v>
      </c>
    </row>
  </sheetData>
  <mergeCells count="5">
    <mergeCell ref="H1:I1"/>
    <mergeCell ref="A1:C1"/>
    <mergeCell ref="E1:G1"/>
    <mergeCell ref="O3:O4"/>
    <mergeCell ref="N3:N4"/>
  </mergeCells>
  <dataValidations count="1">
    <dataValidation type="list" allowBlank="1" showInputMessage="1" showErrorMessage="1" sqref="K6" xr:uid="{E1FA2264-B5F6-4549-B0D7-4D2128963B76}">
      <formula1>"Normal,Edge"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Frente</vt:lpstr>
      <vt:lpstr>Descripciones</vt:lpstr>
      <vt:lpstr>Archetipos</vt:lpstr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JUAREZ JAVIER DAVID</cp:lastModifiedBy>
  <cp:lastPrinted>2025-11-22T00:13:43Z</cp:lastPrinted>
  <dcterms:created xsi:type="dcterms:W3CDTF">2015-06-05T18:19:34Z</dcterms:created>
  <dcterms:modified xsi:type="dcterms:W3CDTF">2025-11-22T00:14:30Z</dcterms:modified>
</cp:coreProperties>
</file>